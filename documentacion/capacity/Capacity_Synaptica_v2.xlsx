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pacity" sheetId="2" state="visible" r:id="rId2"/>
    <sheet xmlns:r="http://schemas.openxmlformats.org/officeDocument/2006/relationships" name="Parametros" sheetId="3" state="visible" r:id="rId3"/>
    <sheet xmlns:r="http://schemas.openxmlformats.org/officeDocument/2006/relationships" name="Consultores" sheetId="4" state="visible" r:id="rId4"/>
    <sheet xmlns:r="http://schemas.openxmlformats.org/officeDocument/2006/relationships" name="Feriados" sheetId="5" state="visible" r:id="rId5"/>
    <sheet xmlns:r="http://schemas.openxmlformats.org/officeDocument/2006/relationships" name="Asignaciones" sheetId="6" state="visible" r:id="rId6"/>
    <sheet xmlns:r="http://schemas.openxmlformats.org/officeDocument/2006/relationships" name="Horas" sheetId="7" state="visible" r:id="rId7"/>
  </sheets>
  <definedNames>
    <definedName name="FER_EC">Feriados!$A$6:$A$120</definedName>
    <definedName name="FER_CO">Feriados!$D$6:$D$120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mmm-yyyy"/>
    <numFmt numFmtId="166" formatCode="0.0"/>
    <numFmt numFmtId="167" formatCode="ddd dd-mmm-yyyy"/>
    <numFmt numFmtId="168" formatCode="dd-mmm-yy"/>
    <numFmt numFmtId="169" formatCode="0.0;-0.0;-"/>
    <numFmt numFmtId="170" formatCode="#,##0.0;-#,##0.0;-"/>
    <numFmt numFmtId="171" formatCode="#,##0.0;[Red]-#,##0.0;-"/>
    <numFmt numFmtId="172" formatCode="#,##0;[Red]-#,##0;-"/>
    <numFmt numFmtId="173" formatCode="#,##0;[Red]-#,##0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1F3864"/>
      <sz val="10"/>
    </font>
    <font>
      <name val="Arial"/>
      <color rgb="00008000"/>
      <sz val="10"/>
    </font>
    <font>
      <name val="Arial"/>
      <b val="1"/>
      <color rgb="00595959"/>
      <sz val="10"/>
    </font>
    <font>
      <name val="Arial"/>
      <sz val="9"/>
    </font>
    <font>
      <name val="Arial"/>
      <color theme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8696B"/>
      </patternFill>
    </fill>
    <fill>
      <patternFill patternType="solid">
        <fgColor rgb="00A9D08E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7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9" fontId="6" fillId="0" borderId="1" applyAlignment="1" pivotButton="0" quotePrefix="0" xfId="0">
      <alignment horizontal="center"/>
    </xf>
    <xf numFmtId="0" fontId="12" fillId="6" borderId="0" pivotButton="0" quotePrefix="0" xfId="0"/>
    <xf numFmtId="0" fontId="11" fillId="0" borderId="0" pivotButton="0" quotePrefix="0" xfId="0"/>
    <xf numFmtId="1" fontId="6" fillId="0" borderId="1" applyAlignment="1" pivotButton="0" quotePrefix="0" xfId="0">
      <alignment horizontal="center"/>
    </xf>
    <xf numFmtId="0" fontId="12" fillId="7" borderId="0" pivotButton="0" quotePrefix="0" xfId="0"/>
    <xf numFmtId="0" fontId="12" fillId="8" borderId="0" pivotButton="0" quotePrefix="0" xfId="0"/>
    <xf numFmtId="173" fontId="5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165" fontId="7" fillId="3" borderId="1" applyAlignment="1" pivotButton="0" quotePrefix="0" xfId="0">
      <alignment horizontal="center"/>
    </xf>
    <xf numFmtId="166" fontId="7" fillId="3" borderId="1" applyAlignment="1" pivotButton="0" quotePrefix="0" xfId="0">
      <alignment horizontal="center"/>
    </xf>
    <xf numFmtId="49" fontId="7" fillId="3" borderId="1" applyAlignment="1" pivotButton="0" quotePrefix="0" xfId="0">
      <alignment horizontal="center"/>
    </xf>
    <xf numFmtId="9" fontId="7" fillId="3" borderId="1" applyAlignment="1" pivotButton="0" quotePrefix="0" xfId="0">
      <alignment horizontal="center"/>
    </xf>
    <xf numFmtId="0" fontId="8" fillId="0" borderId="0" pivotButton="0" quotePrefix="0" xfId="0"/>
    <xf numFmtId="0" fontId="7" fillId="3" borderId="1" pivotButton="0" quotePrefix="0" xfId="0"/>
    <xf numFmtId="166" fontId="7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167" fontId="7" fillId="3" borderId="1" pivotButton="0" quotePrefix="0" xfId="0"/>
    <xf numFmtId="168" fontId="2" fillId="0" borderId="0" pivotButton="0" quotePrefix="0" xfId="0"/>
    <xf numFmtId="168" fontId="7" fillId="3" borderId="1" pivotButton="0" quotePrefix="0" xfId="0"/>
    <xf numFmtId="0" fontId="4" fillId="5" borderId="1" pivotButton="0" quotePrefix="0" xfId="0"/>
    <xf numFmtId="169" fontId="4" fillId="5" borderId="1" pivotButton="0" quotePrefix="0" xfId="0"/>
    <xf numFmtId="170" fontId="4" fillId="5" borderId="1" pivotButton="0" quotePrefix="0" xfId="0"/>
    <xf numFmtId="9" fontId="4" fillId="5" borderId="1" pivotButton="0" quotePrefix="0" xfId="0"/>
    <xf numFmtId="171" fontId="4" fillId="0" borderId="1" pivotButton="0" quotePrefix="0" xfId="0"/>
    <xf numFmtId="172" fontId="6" fillId="0" borderId="1" pivotButton="0" quotePrefix="0" xfId="0"/>
  </cellXfs>
  <cellStyles count="1">
    <cellStyle name="Normal" xfId="0" builtinId="0" hidden="0"/>
  </cellStyles>
  <dxfs count="6">
    <dxf>
      <font>
        <name val="Arial"/>
        <b val="1"/>
        <color rgb="00FFFFFF"/>
      </font>
      <fill>
        <patternFill patternType="solid">
          <fgColor rgb="00F8696B"/>
        </patternFill>
      </fill>
    </dxf>
    <dxf>
      <fill>
        <patternFill patternType="solid">
          <fgColor rgb="00A9D08E"/>
        </patternFill>
      </fill>
    </dxf>
    <dxf>
      <fill>
        <patternFill patternType="solid">
          <fgColor rgb="00FFD966"/>
        </patternFill>
      </fill>
    </dxf>
    <dxf>
      <fill>
        <patternFill patternType="solid">
          <fgColor rgb="00F8696B"/>
        </patternFill>
      </fill>
    </dxf>
    <dxf>
      <font>
        <name val="Arial"/>
        <b val="1"/>
        <color rgb="009C0006"/>
      </font>
      <fill>
        <patternFill patternType="solid">
          <fgColor rgb="00F8CBAD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Utilización del equipo por mes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'Capacity'!$C$5:$H$5</f>
            </numRef>
          </cat>
          <val>
            <numRef>
              <f>'Capacity'!$C$6:$H$6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Plantilla</author>
  </authors>
  <commentList>
    <comment ref="C5" authorId="0" shapeId="0">
      <text>
        <t>Capacidad diaria del consultor. 8 = tiempo completo.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F5" authorId="0" shapeId="0">
      <text>
        <t>Horas por semana dedicadas a ESTE proyecto (ej. 40 = tiempo completo, 20 = medio tiempo).</t>
      </text>
    </comment>
    <comment ref="G5" authorId="0" shapeId="0">
      <text>
        <t>Confirmado o Probable. Vacío = Confirmado. Los Probables solo suman si Parametros!B6 = Sí.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Informe de Capacity – Instrucciones</t>
        </is>
      </c>
    </row>
    <row r="2">
      <c r="A2" s="2" t="inlineStr">
        <is>
          <t>Plantilla por mes calendario, prorrateada por días hábiles y feriados por país</t>
        </is>
      </c>
    </row>
    <row r="3">
      <c r="A3" s="3" t="n"/>
    </row>
    <row r="4">
      <c r="A4" s="4" t="inlineStr">
        <is>
          <t>Cómo usar</t>
        </is>
      </c>
    </row>
    <row r="5">
      <c r="A5" s="5" t="inlineStr">
        <is>
          <t>1. Parametros: define el mes inicial del informe (se muestran 6 meses), horas estándar por día, umbrales y si se incluyen asignaciones 'Probable'.</t>
        </is>
      </c>
    </row>
    <row r="6">
      <c r="A6" s="5" t="inlineStr">
        <is>
          <t>2. Consultores: un consultor por fila, con su país (EC o CO) y horas diarias de capacidad (8 = tiempo completo, 4 = medio tiempo).</t>
        </is>
      </c>
    </row>
    <row r="7">
      <c r="A7" s="5" t="inlineStr">
        <is>
          <t>3. Feriados: revisa las listas de Ecuador y Colombia. Agrega vacaciones o feriados locales si aplica.</t>
        </is>
      </c>
    </row>
    <row r="8">
      <c r="A8" s="5" t="inlineStr">
        <is>
          <t>4. Asignaciones: una fila por consultor-proyecto con fecha inicio, fecha fin y horas semanales dedicadas a ese proyecto.</t>
        </is>
      </c>
    </row>
    <row r="9">
      <c r="A9" s="5" t="inlineStr">
        <is>
          <t>5. Capacity y Horas se calculan solos. No escribas en las celdas grises.</t>
        </is>
      </c>
    </row>
    <row r="10">
      <c r="A10" s="5" t="inlineStr"/>
    </row>
    <row r="11">
      <c r="A11" s="4" t="inlineStr">
        <is>
          <t>Lógica de cálculo</t>
        </is>
      </c>
    </row>
    <row r="12">
      <c r="A12" s="5" t="inlineStr">
        <is>
          <t>• Cada asignación se reparte por días hábiles (lunes a viernes, sin feriados del país del consultor) dentro de cada mes calendario.</t>
        </is>
      </c>
    </row>
    <row r="13">
      <c r="A13" s="5" t="inlineStr">
        <is>
          <t>• Horas asignadas del mes = días hábiles de la asignación en ese mes × (horas semanales ÷ 5).</t>
        </is>
      </c>
    </row>
    <row r="14">
      <c r="A14" s="5" t="inlineStr">
        <is>
          <t>• Capacidad del mes = días hábiles del mes en el país del consultor × horas diarias del consultor.</t>
        </is>
      </c>
    </row>
    <row r="15">
      <c r="A15" s="5" t="inlineStr">
        <is>
          <t>• % asignación = horas asignadas ÷ capacidad. Más de 100% = sobreasignado.</t>
        </is>
      </c>
    </row>
    <row r="16">
      <c r="A16" s="5" t="inlineStr">
        <is>
          <t>• Un proyecto que empieza un jueves 1 cuenta desde ese día en su propio mes (no se arrastra al mes anterior como en el esquema semanal).</t>
        </is>
      </c>
    </row>
    <row r="17">
      <c r="A17" s="5" t="inlineStr"/>
    </row>
    <row r="18">
      <c r="A18" s="4" t="inlineStr">
        <is>
          <t>Convenciones de color</t>
        </is>
      </c>
    </row>
    <row r="19">
      <c r="A19" s="5" t="inlineStr">
        <is>
          <t>• Celdas amarillas con texto azul = datos que llenas tú.</t>
        </is>
      </c>
    </row>
    <row r="20">
      <c r="A20" s="5" t="inlineStr">
        <is>
          <t>• Celdas grises con texto negro = fórmulas (no editar).</t>
        </is>
      </c>
    </row>
    <row r="21">
      <c r="A21" s="5" t="inlineStr">
        <is>
          <t>• Las filas marcadas como 'Ejemplo' son de muestra: bórralas o sobrescríbelas con tus datos.</t>
        </is>
      </c>
    </row>
    <row r="22">
      <c r="A22" s="5" t="inlineStr"/>
    </row>
    <row r="23">
      <c r="A23" s="5" t="inlineStr">
        <is>
          <t>Capacidades de la plantilla: hasta 60 consultores y 300 asignaciones.</t>
        </is>
      </c>
    </row>
    <row r="24">
      <c r="A24" s="5" t="inlineStr">
        <is>
          <t>Para ver otros 6 meses: cambia Parametros!B4 al nuevo mes inicial. Parametros!B10 te avisa si faltan feriados para ese periodo.</t>
        </is>
      </c>
    </row>
    <row r="25">
      <c r="A25" s="5" t="inlineStr">
        <is>
          <t>Feriados precargados según calendarios oficiales publicados a oct-2026; verifica decretos nuevos (en Ecuador el Gobierno puede añadir o mover días).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3" customWidth="1" min="10" max="10"/>
    <col width="4" customWidth="1" min="11" max="11"/>
    <col width="24" customWidth="1" min="12" max="12"/>
  </cols>
  <sheetData>
    <row r="1">
      <c r="A1" s="1" t="inlineStr">
        <is>
          <t>Informe de Capacity – % de asignación por consultor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2" t="inlineStr">
        <is>
          <t>Mes calendario completo · días hábiles por país · asignado ÷ capacidad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6">
        <f>"Periodo: "&amp;TEXT(Asignaciones!J3,"mmm-yyyy")&amp;" a "&amp;TEXT(Asignaciones!O3,"mmm-yyyy")&amp;IF(Parametros!B6="Sí","  ·  Incluye probables","  ·  Solo confirmados")</f>
        <v/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7" t="inlineStr">
        <is>
          <t>Indicador</t>
        </is>
      </c>
      <c r="B5" s="7" t="inlineStr"/>
      <c r="C5" s="8">
        <f>Asignaciones!J3</f>
        <v/>
      </c>
      <c r="D5" s="8">
        <f>Asignaciones!K3</f>
        <v/>
      </c>
      <c r="E5" s="8">
        <f>Asignaciones!L3</f>
        <v/>
      </c>
      <c r="F5" s="8">
        <f>Asignaciones!M3</f>
        <v/>
      </c>
      <c r="G5" s="8">
        <f>Asignaciones!N3</f>
        <v/>
      </c>
      <c r="H5" s="8">
        <f>Asignaciones!O3</f>
        <v/>
      </c>
      <c r="I5" s="7" t="inlineStr">
        <is>
          <t>Periodo</t>
        </is>
      </c>
      <c r="J5" s="3" t="n"/>
      <c r="K5" s="9" t="inlineStr">
        <is>
          <t>Leyenda</t>
        </is>
      </c>
      <c r="L5" s="3" t="n"/>
    </row>
    <row r="6">
      <c r="A6" s="9" t="inlineStr">
        <is>
          <t>Utilización del equipo</t>
        </is>
      </c>
      <c r="B6" s="3" t="n"/>
      <c r="C6" s="10">
        <f>IF(Horas!C66=0,"",Horas!J66/Horas!C66)</f>
        <v/>
      </c>
      <c r="D6" s="10">
        <f>IF(Horas!D66=0,"",Horas!K66/Horas!D66)</f>
        <v/>
      </c>
      <c r="E6" s="10">
        <f>IF(Horas!E66=0,"",Horas!L66/Horas!E66)</f>
        <v/>
      </c>
      <c r="F6" s="10">
        <f>IF(Horas!F66=0,"",Horas!M66/Horas!F66)</f>
        <v/>
      </c>
      <c r="G6" s="10">
        <f>IF(Horas!G66=0,"",Horas!N66/Horas!G66)</f>
        <v/>
      </c>
      <c r="H6" s="10">
        <f>IF(Horas!H66=0,"",Horas!O66/Horas!H66)</f>
        <v/>
      </c>
      <c r="I6" s="10">
        <f>IF(SUM(Horas!C66:H66)=0,"",SUM(Horas!J66:O66)/SUM(Horas!C66:H66))</f>
        <v/>
      </c>
      <c r="J6" s="3" t="n"/>
      <c r="K6" s="11" t="n"/>
      <c r="L6" s="12" t="inlineStr">
        <is>
          <t>Sobreasignado (&gt; umbral)</t>
        </is>
      </c>
    </row>
    <row r="7">
      <c r="A7" s="9" t="inlineStr">
        <is>
          <t># Sobreasignados</t>
        </is>
      </c>
      <c r="B7" s="3" t="n"/>
      <c r="C7" s="13">
        <f>COUNTIF(C10:C69,"&gt;"&amp;Parametros!$B$8)</f>
        <v/>
      </c>
      <c r="D7" s="13">
        <f>COUNTIF(D10:D69,"&gt;"&amp;Parametros!$B$8)</f>
        <v/>
      </c>
      <c r="E7" s="13">
        <f>COUNTIF(E10:E69,"&gt;"&amp;Parametros!$B$8)</f>
        <v/>
      </c>
      <c r="F7" s="13">
        <f>COUNTIF(F10:F69,"&gt;"&amp;Parametros!$B$8)</f>
        <v/>
      </c>
      <c r="G7" s="13">
        <f>COUNTIF(G10:G69,"&gt;"&amp;Parametros!$B$8)</f>
        <v/>
      </c>
      <c r="H7" s="13">
        <f>COUNTIF(H10:H69,"&gt;"&amp;Parametros!$B$8)</f>
        <v/>
      </c>
      <c r="I7" s="3" t="n"/>
      <c r="J7" s="3" t="n"/>
      <c r="K7" s="14" t="n"/>
      <c r="L7" s="12" t="inlineStr">
        <is>
          <t>Asignación sana</t>
        </is>
      </c>
    </row>
    <row r="8">
      <c r="A8" s="9" t="inlineStr">
        <is>
          <t># Subutilizados</t>
        </is>
      </c>
      <c r="B8" s="3" t="n"/>
      <c r="C8" s="13">
        <f>COUNTIF(C10:C69,"&lt;"&amp;Parametros!$B$7)</f>
        <v/>
      </c>
      <c r="D8" s="13">
        <f>COUNTIF(D10:D69,"&lt;"&amp;Parametros!$B$7)</f>
        <v/>
      </c>
      <c r="E8" s="13">
        <f>COUNTIF(E10:E69,"&lt;"&amp;Parametros!$B$7)</f>
        <v/>
      </c>
      <c r="F8" s="13">
        <f>COUNTIF(F10:F69,"&lt;"&amp;Parametros!$B$7)</f>
        <v/>
      </c>
      <c r="G8" s="13">
        <f>COUNTIF(G10:G69,"&lt;"&amp;Parametros!$B$7)</f>
        <v/>
      </c>
      <c r="H8" s="13">
        <f>COUNTIF(H10:H69,"&lt;"&amp;Parametros!$B$7)</f>
        <v/>
      </c>
      <c r="I8" s="3" t="n"/>
      <c r="J8" s="3" t="n"/>
      <c r="K8" s="15" t="n"/>
      <c r="L8" s="12" t="inlineStr">
        <is>
          <t>Subutilizado (&lt; umbral)</t>
        </is>
      </c>
    </row>
    <row r="9" ht="30" customHeight="1">
      <c r="A9" s="7" t="inlineStr">
        <is>
          <t>Consultor</t>
        </is>
      </c>
      <c r="B9" s="7" t="inlineStr">
        <is>
          <t>País</t>
        </is>
      </c>
      <c r="C9" s="8">
        <f>Asignaciones!J3</f>
        <v/>
      </c>
      <c r="D9" s="8">
        <f>Asignaciones!K3</f>
        <v/>
      </c>
      <c r="E9" s="8">
        <f>Asignaciones!L3</f>
        <v/>
      </c>
      <c r="F9" s="8">
        <f>Asignaciones!M3</f>
        <v/>
      </c>
      <c r="G9" s="8">
        <f>Asignaciones!N3</f>
        <v/>
      </c>
      <c r="H9" s="8">
        <f>Asignaciones!O3</f>
        <v/>
      </c>
      <c r="I9" s="16" t="inlineStr">
        <is>
          <t>Promedio periodo</t>
        </is>
      </c>
      <c r="J9" s="3" t="n"/>
      <c r="K9" s="3" t="n"/>
      <c r="L9" s="3" t="n"/>
    </row>
    <row r="10">
      <c r="A10" s="17">
        <f>Horas!A6</f>
        <v/>
      </c>
      <c r="B10" s="18">
        <f>Horas!B6</f>
        <v/>
      </c>
      <c r="C10" s="19">
        <f>IF($A10="","",IF(N(Horas!C6)=0,"",Horas!J6/Horas!C6))</f>
        <v/>
      </c>
      <c r="D10" s="19">
        <f>IF($A10="","",IF(N(Horas!D6)=0,"",Horas!K6/Horas!D6))</f>
        <v/>
      </c>
      <c r="E10" s="19">
        <f>IF($A10="","",IF(N(Horas!E6)=0,"",Horas!L6/Horas!E6))</f>
        <v/>
      </c>
      <c r="F10" s="19">
        <f>IF($A10="","",IF(N(Horas!F6)=0,"",Horas!M6/Horas!F6))</f>
        <v/>
      </c>
      <c r="G10" s="19">
        <f>IF($A10="","",IF(N(Horas!G6)=0,"",Horas!N6/Horas!G6))</f>
        <v/>
      </c>
      <c r="H10" s="19">
        <f>IF($A10="","",IF(N(Horas!H6)=0,"",Horas!O6/Horas!H6))</f>
        <v/>
      </c>
      <c r="I10" s="10">
        <f>IF($A10="","",IF(SUM(Horas!C6:H6)=0,"",SUM(Horas!J6:O6)/SUM(Horas!C6:H6)))</f>
        <v/>
      </c>
      <c r="J10" s="3" t="n"/>
      <c r="K10" s="3" t="n"/>
      <c r="L10" s="3" t="n"/>
    </row>
    <row r="11">
      <c r="A11" s="17">
        <f>Horas!A7</f>
        <v/>
      </c>
      <c r="B11" s="18">
        <f>Horas!B7</f>
        <v/>
      </c>
      <c r="C11" s="19">
        <f>IF($A11="","",IF(N(Horas!C7)=0,"",Horas!J7/Horas!C7))</f>
        <v/>
      </c>
      <c r="D11" s="19">
        <f>IF($A11="","",IF(N(Horas!D7)=0,"",Horas!K7/Horas!D7))</f>
        <v/>
      </c>
      <c r="E11" s="19">
        <f>IF($A11="","",IF(N(Horas!E7)=0,"",Horas!L7/Horas!E7))</f>
        <v/>
      </c>
      <c r="F11" s="19">
        <f>IF($A11="","",IF(N(Horas!F7)=0,"",Horas!M7/Horas!F7))</f>
        <v/>
      </c>
      <c r="G11" s="19">
        <f>IF($A11="","",IF(N(Horas!G7)=0,"",Horas!N7/Horas!G7))</f>
        <v/>
      </c>
      <c r="H11" s="19">
        <f>IF($A11="","",IF(N(Horas!H7)=0,"",Horas!O7/Horas!H7))</f>
        <v/>
      </c>
      <c r="I11" s="10">
        <f>IF($A11="","",IF(SUM(Horas!C7:H7)=0,"",SUM(Horas!J7:O7)/SUM(Horas!C7:H7)))</f>
        <v/>
      </c>
      <c r="J11" s="3" t="n"/>
      <c r="K11" s="3" t="n"/>
      <c r="L11" s="3" t="n"/>
    </row>
    <row r="12">
      <c r="A12" s="17">
        <f>Horas!A8</f>
        <v/>
      </c>
      <c r="B12" s="18">
        <f>Horas!B8</f>
        <v/>
      </c>
      <c r="C12" s="19">
        <f>IF($A12="","",IF(N(Horas!C8)=0,"",Horas!J8/Horas!C8))</f>
        <v/>
      </c>
      <c r="D12" s="19">
        <f>IF($A12="","",IF(N(Horas!D8)=0,"",Horas!K8/Horas!D8))</f>
        <v/>
      </c>
      <c r="E12" s="19">
        <f>IF($A12="","",IF(N(Horas!E8)=0,"",Horas!L8/Horas!E8))</f>
        <v/>
      </c>
      <c r="F12" s="19">
        <f>IF($A12="","",IF(N(Horas!F8)=0,"",Horas!M8/Horas!F8))</f>
        <v/>
      </c>
      <c r="G12" s="19">
        <f>IF($A12="","",IF(N(Horas!G8)=0,"",Horas!N8/Horas!G8))</f>
        <v/>
      </c>
      <c r="H12" s="19">
        <f>IF($A12="","",IF(N(Horas!H8)=0,"",Horas!O8/Horas!H8))</f>
        <v/>
      </c>
      <c r="I12" s="10">
        <f>IF($A12="","",IF(SUM(Horas!C8:H8)=0,"",SUM(Horas!J8:O8)/SUM(Horas!C8:H8)))</f>
        <v/>
      </c>
      <c r="J12" s="3" t="n"/>
      <c r="K12" s="3" t="n"/>
      <c r="L12" s="3" t="n"/>
    </row>
    <row r="13">
      <c r="A13" s="17">
        <f>Horas!A9</f>
        <v/>
      </c>
      <c r="B13" s="18">
        <f>Horas!B9</f>
        <v/>
      </c>
      <c r="C13" s="19">
        <f>IF($A13="","",IF(N(Horas!C9)=0,"",Horas!J9/Horas!C9))</f>
        <v/>
      </c>
      <c r="D13" s="19">
        <f>IF($A13="","",IF(N(Horas!D9)=0,"",Horas!K9/Horas!D9))</f>
        <v/>
      </c>
      <c r="E13" s="19">
        <f>IF($A13="","",IF(N(Horas!E9)=0,"",Horas!L9/Horas!E9))</f>
        <v/>
      </c>
      <c r="F13" s="19">
        <f>IF($A13="","",IF(N(Horas!F9)=0,"",Horas!M9/Horas!F9))</f>
        <v/>
      </c>
      <c r="G13" s="19">
        <f>IF($A13="","",IF(N(Horas!G9)=0,"",Horas!N9/Horas!G9))</f>
        <v/>
      </c>
      <c r="H13" s="19">
        <f>IF($A13="","",IF(N(Horas!H9)=0,"",Horas!O9/Horas!H9))</f>
        <v/>
      </c>
      <c r="I13" s="10">
        <f>IF($A13="","",IF(SUM(Horas!C9:H9)=0,"",SUM(Horas!J9:O9)/SUM(Horas!C9:H9)))</f>
        <v/>
      </c>
      <c r="J13" s="3" t="n"/>
      <c r="K13" s="3" t="n"/>
      <c r="L13" s="3" t="n"/>
    </row>
    <row r="14">
      <c r="A14" s="17">
        <f>Horas!A10</f>
        <v/>
      </c>
      <c r="B14" s="18">
        <f>Horas!B10</f>
        <v/>
      </c>
      <c r="C14" s="19">
        <f>IF($A14="","",IF(N(Horas!C10)=0,"",Horas!J10/Horas!C10))</f>
        <v/>
      </c>
      <c r="D14" s="19">
        <f>IF($A14="","",IF(N(Horas!D10)=0,"",Horas!K10/Horas!D10))</f>
        <v/>
      </c>
      <c r="E14" s="19">
        <f>IF($A14="","",IF(N(Horas!E10)=0,"",Horas!L10/Horas!E10))</f>
        <v/>
      </c>
      <c r="F14" s="19">
        <f>IF($A14="","",IF(N(Horas!F10)=0,"",Horas!M10/Horas!F10))</f>
        <v/>
      </c>
      <c r="G14" s="19">
        <f>IF($A14="","",IF(N(Horas!G10)=0,"",Horas!N10/Horas!G10))</f>
        <v/>
      </c>
      <c r="H14" s="19">
        <f>IF($A14="","",IF(N(Horas!H10)=0,"",Horas!O10/Horas!H10))</f>
        <v/>
      </c>
      <c r="I14" s="10">
        <f>IF($A14="","",IF(SUM(Horas!C10:H10)=0,"",SUM(Horas!J10:O10)/SUM(Horas!C10:H10)))</f>
        <v/>
      </c>
      <c r="J14" s="3" t="n"/>
      <c r="K14" s="3" t="n"/>
      <c r="L14" s="3" t="n"/>
    </row>
    <row r="15">
      <c r="A15" s="17">
        <f>Horas!A11</f>
        <v/>
      </c>
      <c r="B15" s="18">
        <f>Horas!B11</f>
        <v/>
      </c>
      <c r="C15" s="19">
        <f>IF($A15="","",IF(N(Horas!C11)=0,"",Horas!J11/Horas!C11))</f>
        <v/>
      </c>
      <c r="D15" s="19">
        <f>IF($A15="","",IF(N(Horas!D11)=0,"",Horas!K11/Horas!D11))</f>
        <v/>
      </c>
      <c r="E15" s="19">
        <f>IF($A15="","",IF(N(Horas!E11)=0,"",Horas!L11/Horas!E11))</f>
        <v/>
      </c>
      <c r="F15" s="19">
        <f>IF($A15="","",IF(N(Horas!F11)=0,"",Horas!M11/Horas!F11))</f>
        <v/>
      </c>
      <c r="G15" s="19">
        <f>IF($A15="","",IF(N(Horas!G11)=0,"",Horas!N11/Horas!G11))</f>
        <v/>
      </c>
      <c r="H15" s="19">
        <f>IF($A15="","",IF(N(Horas!H11)=0,"",Horas!O11/Horas!H11))</f>
        <v/>
      </c>
      <c r="I15" s="10">
        <f>IF($A15="","",IF(SUM(Horas!C11:H11)=0,"",SUM(Horas!J11:O11)/SUM(Horas!C11:H11)))</f>
        <v/>
      </c>
      <c r="J15" s="3" t="n"/>
      <c r="K15" s="3" t="n"/>
      <c r="L15" s="3" t="n"/>
    </row>
    <row r="16">
      <c r="A16" s="17">
        <f>Horas!A12</f>
        <v/>
      </c>
      <c r="B16" s="18">
        <f>Horas!B12</f>
        <v/>
      </c>
      <c r="C16" s="19">
        <f>IF($A16="","",IF(N(Horas!C12)=0,"",Horas!J12/Horas!C12))</f>
        <v/>
      </c>
      <c r="D16" s="19">
        <f>IF($A16="","",IF(N(Horas!D12)=0,"",Horas!K12/Horas!D12))</f>
        <v/>
      </c>
      <c r="E16" s="19">
        <f>IF($A16="","",IF(N(Horas!E12)=0,"",Horas!L12/Horas!E12))</f>
        <v/>
      </c>
      <c r="F16" s="19">
        <f>IF($A16="","",IF(N(Horas!F12)=0,"",Horas!M12/Horas!F12))</f>
        <v/>
      </c>
      <c r="G16" s="19">
        <f>IF($A16="","",IF(N(Horas!G12)=0,"",Horas!N12/Horas!G12))</f>
        <v/>
      </c>
      <c r="H16" s="19">
        <f>IF($A16="","",IF(N(Horas!H12)=0,"",Horas!O12/Horas!H12))</f>
        <v/>
      </c>
      <c r="I16" s="10">
        <f>IF($A16="","",IF(SUM(Horas!C12:H12)=0,"",SUM(Horas!J12:O12)/SUM(Horas!C12:H12)))</f>
        <v/>
      </c>
      <c r="J16" s="3" t="n"/>
      <c r="K16" s="3" t="n"/>
      <c r="L16" s="3" t="n"/>
    </row>
    <row r="17">
      <c r="A17" s="17">
        <f>Horas!A13</f>
        <v/>
      </c>
      <c r="B17" s="18">
        <f>Horas!B13</f>
        <v/>
      </c>
      <c r="C17" s="19">
        <f>IF($A17="","",IF(N(Horas!C13)=0,"",Horas!J13/Horas!C13))</f>
        <v/>
      </c>
      <c r="D17" s="19">
        <f>IF($A17="","",IF(N(Horas!D13)=0,"",Horas!K13/Horas!D13))</f>
        <v/>
      </c>
      <c r="E17" s="19">
        <f>IF($A17="","",IF(N(Horas!E13)=0,"",Horas!L13/Horas!E13))</f>
        <v/>
      </c>
      <c r="F17" s="19">
        <f>IF($A17="","",IF(N(Horas!F13)=0,"",Horas!M13/Horas!F13))</f>
        <v/>
      </c>
      <c r="G17" s="19">
        <f>IF($A17="","",IF(N(Horas!G13)=0,"",Horas!N13/Horas!G13))</f>
        <v/>
      </c>
      <c r="H17" s="19">
        <f>IF($A17="","",IF(N(Horas!H13)=0,"",Horas!O13/Horas!H13))</f>
        <v/>
      </c>
      <c r="I17" s="10">
        <f>IF($A17="","",IF(SUM(Horas!C13:H13)=0,"",SUM(Horas!J13:O13)/SUM(Horas!C13:H13)))</f>
        <v/>
      </c>
      <c r="J17" s="3" t="n"/>
      <c r="K17" s="3" t="n"/>
      <c r="L17" s="3" t="n"/>
    </row>
    <row r="18">
      <c r="A18" s="17">
        <f>Horas!A14</f>
        <v/>
      </c>
      <c r="B18" s="18">
        <f>Horas!B14</f>
        <v/>
      </c>
      <c r="C18" s="19">
        <f>IF($A18="","",IF(N(Horas!C14)=0,"",Horas!J14/Horas!C14))</f>
        <v/>
      </c>
      <c r="D18" s="19">
        <f>IF($A18="","",IF(N(Horas!D14)=0,"",Horas!K14/Horas!D14))</f>
        <v/>
      </c>
      <c r="E18" s="19">
        <f>IF($A18="","",IF(N(Horas!E14)=0,"",Horas!L14/Horas!E14))</f>
        <v/>
      </c>
      <c r="F18" s="19">
        <f>IF($A18="","",IF(N(Horas!F14)=0,"",Horas!M14/Horas!F14))</f>
        <v/>
      </c>
      <c r="G18" s="19">
        <f>IF($A18="","",IF(N(Horas!G14)=0,"",Horas!N14/Horas!G14))</f>
        <v/>
      </c>
      <c r="H18" s="19">
        <f>IF($A18="","",IF(N(Horas!H14)=0,"",Horas!O14/Horas!H14))</f>
        <v/>
      </c>
      <c r="I18" s="10">
        <f>IF($A18="","",IF(SUM(Horas!C14:H14)=0,"",SUM(Horas!J14:O14)/SUM(Horas!C14:H14)))</f>
        <v/>
      </c>
      <c r="J18" s="3" t="n"/>
      <c r="K18" s="3" t="n"/>
      <c r="L18" s="3" t="n"/>
    </row>
    <row r="19">
      <c r="A19" s="17">
        <f>Horas!A15</f>
        <v/>
      </c>
      <c r="B19" s="18">
        <f>Horas!B15</f>
        <v/>
      </c>
      <c r="C19" s="19">
        <f>IF($A19="","",IF(N(Horas!C15)=0,"",Horas!J15/Horas!C15))</f>
        <v/>
      </c>
      <c r="D19" s="19">
        <f>IF($A19="","",IF(N(Horas!D15)=0,"",Horas!K15/Horas!D15))</f>
        <v/>
      </c>
      <c r="E19" s="19">
        <f>IF($A19="","",IF(N(Horas!E15)=0,"",Horas!L15/Horas!E15))</f>
        <v/>
      </c>
      <c r="F19" s="19">
        <f>IF($A19="","",IF(N(Horas!F15)=0,"",Horas!M15/Horas!F15))</f>
        <v/>
      </c>
      <c r="G19" s="19">
        <f>IF($A19="","",IF(N(Horas!G15)=0,"",Horas!N15/Horas!G15))</f>
        <v/>
      </c>
      <c r="H19" s="19">
        <f>IF($A19="","",IF(N(Horas!H15)=0,"",Horas!O15/Horas!H15))</f>
        <v/>
      </c>
      <c r="I19" s="10">
        <f>IF($A19="","",IF(SUM(Horas!C15:H15)=0,"",SUM(Horas!J15:O15)/SUM(Horas!C15:H15)))</f>
        <v/>
      </c>
      <c r="J19" s="3" t="n"/>
      <c r="K19" s="3" t="n"/>
      <c r="L19" s="3" t="n"/>
    </row>
    <row r="20">
      <c r="A20" s="17">
        <f>Horas!A16</f>
        <v/>
      </c>
      <c r="B20" s="18">
        <f>Horas!B16</f>
        <v/>
      </c>
      <c r="C20" s="19">
        <f>IF($A20="","",IF(N(Horas!C16)=0,"",Horas!J16/Horas!C16))</f>
        <v/>
      </c>
      <c r="D20" s="19">
        <f>IF($A20="","",IF(N(Horas!D16)=0,"",Horas!K16/Horas!D16))</f>
        <v/>
      </c>
      <c r="E20" s="19">
        <f>IF($A20="","",IF(N(Horas!E16)=0,"",Horas!L16/Horas!E16))</f>
        <v/>
      </c>
      <c r="F20" s="19">
        <f>IF($A20="","",IF(N(Horas!F16)=0,"",Horas!M16/Horas!F16))</f>
        <v/>
      </c>
      <c r="G20" s="19">
        <f>IF($A20="","",IF(N(Horas!G16)=0,"",Horas!N16/Horas!G16))</f>
        <v/>
      </c>
      <c r="H20" s="19">
        <f>IF($A20="","",IF(N(Horas!H16)=0,"",Horas!O16/Horas!H16))</f>
        <v/>
      </c>
      <c r="I20" s="10">
        <f>IF($A20="","",IF(SUM(Horas!C16:H16)=0,"",SUM(Horas!J16:O16)/SUM(Horas!C16:H16)))</f>
        <v/>
      </c>
      <c r="J20" s="3" t="n"/>
      <c r="K20" s="3" t="n"/>
      <c r="L20" s="3" t="n"/>
    </row>
    <row r="21">
      <c r="A21" s="17">
        <f>Horas!A17</f>
        <v/>
      </c>
      <c r="B21" s="18">
        <f>Horas!B17</f>
        <v/>
      </c>
      <c r="C21" s="19">
        <f>IF($A21="","",IF(N(Horas!C17)=0,"",Horas!J17/Horas!C17))</f>
        <v/>
      </c>
      <c r="D21" s="19">
        <f>IF($A21="","",IF(N(Horas!D17)=0,"",Horas!K17/Horas!D17))</f>
        <v/>
      </c>
      <c r="E21" s="19">
        <f>IF($A21="","",IF(N(Horas!E17)=0,"",Horas!L17/Horas!E17))</f>
        <v/>
      </c>
      <c r="F21" s="19">
        <f>IF($A21="","",IF(N(Horas!F17)=0,"",Horas!M17/Horas!F17))</f>
        <v/>
      </c>
      <c r="G21" s="19">
        <f>IF($A21="","",IF(N(Horas!G17)=0,"",Horas!N17/Horas!G17))</f>
        <v/>
      </c>
      <c r="H21" s="19">
        <f>IF($A21="","",IF(N(Horas!H17)=0,"",Horas!O17/Horas!H17))</f>
        <v/>
      </c>
      <c r="I21" s="10">
        <f>IF($A21="","",IF(SUM(Horas!C17:H17)=0,"",SUM(Horas!J17:O17)/SUM(Horas!C17:H17)))</f>
        <v/>
      </c>
      <c r="J21" s="3" t="n"/>
      <c r="K21" s="3" t="n"/>
      <c r="L21" s="3" t="n"/>
    </row>
    <row r="22">
      <c r="A22" s="17">
        <f>Horas!A18</f>
        <v/>
      </c>
      <c r="B22" s="18">
        <f>Horas!B18</f>
        <v/>
      </c>
      <c r="C22" s="19">
        <f>IF($A22="","",IF(N(Horas!C18)=0,"",Horas!J18/Horas!C18))</f>
        <v/>
      </c>
      <c r="D22" s="19">
        <f>IF($A22="","",IF(N(Horas!D18)=0,"",Horas!K18/Horas!D18))</f>
        <v/>
      </c>
      <c r="E22" s="19">
        <f>IF($A22="","",IF(N(Horas!E18)=0,"",Horas!L18/Horas!E18))</f>
        <v/>
      </c>
      <c r="F22" s="19">
        <f>IF($A22="","",IF(N(Horas!F18)=0,"",Horas!M18/Horas!F18))</f>
        <v/>
      </c>
      <c r="G22" s="19">
        <f>IF($A22="","",IF(N(Horas!G18)=0,"",Horas!N18/Horas!G18))</f>
        <v/>
      </c>
      <c r="H22" s="19">
        <f>IF($A22="","",IF(N(Horas!H18)=0,"",Horas!O18/Horas!H18))</f>
        <v/>
      </c>
      <c r="I22" s="10">
        <f>IF($A22="","",IF(SUM(Horas!C18:H18)=0,"",SUM(Horas!J18:O18)/SUM(Horas!C18:H18)))</f>
        <v/>
      </c>
      <c r="J22" s="3" t="n"/>
      <c r="K22" s="3" t="n"/>
      <c r="L22" s="3" t="n"/>
    </row>
    <row r="23">
      <c r="A23" s="17">
        <f>Horas!A19</f>
        <v/>
      </c>
      <c r="B23" s="18">
        <f>Horas!B19</f>
        <v/>
      </c>
      <c r="C23" s="19">
        <f>IF($A23="","",IF(N(Horas!C19)=0,"",Horas!J19/Horas!C19))</f>
        <v/>
      </c>
      <c r="D23" s="19">
        <f>IF($A23="","",IF(N(Horas!D19)=0,"",Horas!K19/Horas!D19))</f>
        <v/>
      </c>
      <c r="E23" s="19">
        <f>IF($A23="","",IF(N(Horas!E19)=0,"",Horas!L19/Horas!E19))</f>
        <v/>
      </c>
      <c r="F23" s="19">
        <f>IF($A23="","",IF(N(Horas!F19)=0,"",Horas!M19/Horas!F19))</f>
        <v/>
      </c>
      <c r="G23" s="19">
        <f>IF($A23="","",IF(N(Horas!G19)=0,"",Horas!N19/Horas!G19))</f>
        <v/>
      </c>
      <c r="H23" s="19">
        <f>IF($A23="","",IF(N(Horas!H19)=0,"",Horas!O19/Horas!H19))</f>
        <v/>
      </c>
      <c r="I23" s="10">
        <f>IF($A23="","",IF(SUM(Horas!C19:H19)=0,"",SUM(Horas!J19:O19)/SUM(Horas!C19:H19)))</f>
        <v/>
      </c>
      <c r="J23" s="3" t="n"/>
      <c r="K23" s="3" t="n"/>
      <c r="L23" s="3" t="n"/>
    </row>
    <row r="24">
      <c r="A24" s="17">
        <f>Horas!A20</f>
        <v/>
      </c>
      <c r="B24" s="18">
        <f>Horas!B20</f>
        <v/>
      </c>
      <c r="C24" s="19">
        <f>IF($A24="","",IF(N(Horas!C20)=0,"",Horas!J20/Horas!C20))</f>
        <v/>
      </c>
      <c r="D24" s="19">
        <f>IF($A24="","",IF(N(Horas!D20)=0,"",Horas!K20/Horas!D20))</f>
        <v/>
      </c>
      <c r="E24" s="19">
        <f>IF($A24="","",IF(N(Horas!E20)=0,"",Horas!L20/Horas!E20))</f>
        <v/>
      </c>
      <c r="F24" s="19">
        <f>IF($A24="","",IF(N(Horas!F20)=0,"",Horas!M20/Horas!F20))</f>
        <v/>
      </c>
      <c r="G24" s="19">
        <f>IF($A24="","",IF(N(Horas!G20)=0,"",Horas!N20/Horas!G20))</f>
        <v/>
      </c>
      <c r="H24" s="19">
        <f>IF($A24="","",IF(N(Horas!H20)=0,"",Horas!O20/Horas!H20))</f>
        <v/>
      </c>
      <c r="I24" s="10">
        <f>IF($A24="","",IF(SUM(Horas!C20:H20)=0,"",SUM(Horas!J20:O20)/SUM(Horas!C20:H20)))</f>
        <v/>
      </c>
      <c r="J24" s="3" t="n"/>
      <c r="K24" s="3" t="n"/>
      <c r="L24" s="3" t="n"/>
    </row>
    <row r="25">
      <c r="A25" s="17">
        <f>Horas!A21</f>
        <v/>
      </c>
      <c r="B25" s="18">
        <f>Horas!B21</f>
        <v/>
      </c>
      <c r="C25" s="19">
        <f>IF($A25="","",IF(N(Horas!C21)=0,"",Horas!J21/Horas!C21))</f>
        <v/>
      </c>
      <c r="D25" s="19">
        <f>IF($A25="","",IF(N(Horas!D21)=0,"",Horas!K21/Horas!D21))</f>
        <v/>
      </c>
      <c r="E25" s="19">
        <f>IF($A25="","",IF(N(Horas!E21)=0,"",Horas!L21/Horas!E21))</f>
        <v/>
      </c>
      <c r="F25" s="19">
        <f>IF($A25="","",IF(N(Horas!F21)=0,"",Horas!M21/Horas!F21))</f>
        <v/>
      </c>
      <c r="G25" s="19">
        <f>IF($A25="","",IF(N(Horas!G21)=0,"",Horas!N21/Horas!G21))</f>
        <v/>
      </c>
      <c r="H25" s="19">
        <f>IF($A25="","",IF(N(Horas!H21)=0,"",Horas!O21/Horas!H21))</f>
        <v/>
      </c>
      <c r="I25" s="10">
        <f>IF($A25="","",IF(SUM(Horas!C21:H21)=0,"",SUM(Horas!J21:O21)/SUM(Horas!C21:H21)))</f>
        <v/>
      </c>
      <c r="J25" s="3" t="n"/>
      <c r="K25" s="3" t="n"/>
      <c r="L25" s="3" t="n"/>
    </row>
    <row r="26">
      <c r="A26" s="17">
        <f>Horas!A22</f>
        <v/>
      </c>
      <c r="B26" s="18">
        <f>Horas!B22</f>
        <v/>
      </c>
      <c r="C26" s="19">
        <f>IF($A26="","",IF(N(Horas!C22)=0,"",Horas!J22/Horas!C22))</f>
        <v/>
      </c>
      <c r="D26" s="19">
        <f>IF($A26="","",IF(N(Horas!D22)=0,"",Horas!K22/Horas!D22))</f>
        <v/>
      </c>
      <c r="E26" s="19">
        <f>IF($A26="","",IF(N(Horas!E22)=0,"",Horas!L22/Horas!E22))</f>
        <v/>
      </c>
      <c r="F26" s="19">
        <f>IF($A26="","",IF(N(Horas!F22)=0,"",Horas!M22/Horas!F22))</f>
        <v/>
      </c>
      <c r="G26" s="19">
        <f>IF($A26="","",IF(N(Horas!G22)=0,"",Horas!N22/Horas!G22))</f>
        <v/>
      </c>
      <c r="H26" s="19">
        <f>IF($A26="","",IF(N(Horas!H22)=0,"",Horas!O22/Horas!H22))</f>
        <v/>
      </c>
      <c r="I26" s="10">
        <f>IF($A26="","",IF(SUM(Horas!C22:H22)=0,"",SUM(Horas!J22:O22)/SUM(Horas!C22:H22)))</f>
        <v/>
      </c>
      <c r="J26" s="3" t="n"/>
      <c r="K26" s="3" t="n"/>
      <c r="L26" s="3" t="n"/>
    </row>
    <row r="27">
      <c r="A27" s="17">
        <f>Horas!A23</f>
        <v/>
      </c>
      <c r="B27" s="18">
        <f>Horas!B23</f>
        <v/>
      </c>
      <c r="C27" s="19">
        <f>IF($A27="","",IF(N(Horas!C23)=0,"",Horas!J23/Horas!C23))</f>
        <v/>
      </c>
      <c r="D27" s="19">
        <f>IF($A27="","",IF(N(Horas!D23)=0,"",Horas!K23/Horas!D23))</f>
        <v/>
      </c>
      <c r="E27" s="19">
        <f>IF($A27="","",IF(N(Horas!E23)=0,"",Horas!L23/Horas!E23))</f>
        <v/>
      </c>
      <c r="F27" s="19">
        <f>IF($A27="","",IF(N(Horas!F23)=0,"",Horas!M23/Horas!F23))</f>
        <v/>
      </c>
      <c r="G27" s="19">
        <f>IF($A27="","",IF(N(Horas!G23)=0,"",Horas!N23/Horas!G23))</f>
        <v/>
      </c>
      <c r="H27" s="19">
        <f>IF($A27="","",IF(N(Horas!H23)=0,"",Horas!O23/Horas!H23))</f>
        <v/>
      </c>
      <c r="I27" s="10">
        <f>IF($A27="","",IF(SUM(Horas!C23:H23)=0,"",SUM(Horas!J23:O23)/SUM(Horas!C23:H23)))</f>
        <v/>
      </c>
      <c r="J27" s="3" t="n"/>
      <c r="K27" s="3" t="n"/>
      <c r="L27" s="3" t="n"/>
    </row>
    <row r="28">
      <c r="A28" s="17">
        <f>Horas!A24</f>
        <v/>
      </c>
      <c r="B28" s="18">
        <f>Horas!B24</f>
        <v/>
      </c>
      <c r="C28" s="19">
        <f>IF($A28="","",IF(N(Horas!C24)=0,"",Horas!J24/Horas!C24))</f>
        <v/>
      </c>
      <c r="D28" s="19">
        <f>IF($A28="","",IF(N(Horas!D24)=0,"",Horas!K24/Horas!D24))</f>
        <v/>
      </c>
      <c r="E28" s="19">
        <f>IF($A28="","",IF(N(Horas!E24)=0,"",Horas!L24/Horas!E24))</f>
        <v/>
      </c>
      <c r="F28" s="19">
        <f>IF($A28="","",IF(N(Horas!F24)=0,"",Horas!M24/Horas!F24))</f>
        <v/>
      </c>
      <c r="G28" s="19">
        <f>IF($A28="","",IF(N(Horas!G24)=0,"",Horas!N24/Horas!G24))</f>
        <v/>
      </c>
      <c r="H28" s="19">
        <f>IF($A28="","",IF(N(Horas!H24)=0,"",Horas!O24/Horas!H24))</f>
        <v/>
      </c>
      <c r="I28" s="10">
        <f>IF($A28="","",IF(SUM(Horas!C24:H24)=0,"",SUM(Horas!J24:O24)/SUM(Horas!C24:H24)))</f>
        <v/>
      </c>
      <c r="J28" s="3" t="n"/>
      <c r="K28" s="3" t="n"/>
      <c r="L28" s="3" t="n"/>
    </row>
    <row r="29">
      <c r="A29" s="17">
        <f>Horas!A25</f>
        <v/>
      </c>
      <c r="B29" s="18">
        <f>Horas!B25</f>
        <v/>
      </c>
      <c r="C29" s="19">
        <f>IF($A29="","",IF(N(Horas!C25)=0,"",Horas!J25/Horas!C25))</f>
        <v/>
      </c>
      <c r="D29" s="19">
        <f>IF($A29="","",IF(N(Horas!D25)=0,"",Horas!K25/Horas!D25))</f>
        <v/>
      </c>
      <c r="E29" s="19">
        <f>IF($A29="","",IF(N(Horas!E25)=0,"",Horas!L25/Horas!E25))</f>
        <v/>
      </c>
      <c r="F29" s="19">
        <f>IF($A29="","",IF(N(Horas!F25)=0,"",Horas!M25/Horas!F25))</f>
        <v/>
      </c>
      <c r="G29" s="19">
        <f>IF($A29="","",IF(N(Horas!G25)=0,"",Horas!N25/Horas!G25))</f>
        <v/>
      </c>
      <c r="H29" s="19">
        <f>IF($A29="","",IF(N(Horas!H25)=0,"",Horas!O25/Horas!H25))</f>
        <v/>
      </c>
      <c r="I29" s="10">
        <f>IF($A29="","",IF(SUM(Horas!C25:H25)=0,"",SUM(Horas!J25:O25)/SUM(Horas!C25:H25)))</f>
        <v/>
      </c>
      <c r="J29" s="3" t="n"/>
      <c r="K29" s="3" t="n"/>
      <c r="L29" s="3" t="n"/>
    </row>
    <row r="30">
      <c r="A30" s="17">
        <f>Horas!A26</f>
        <v/>
      </c>
      <c r="B30" s="18">
        <f>Horas!B26</f>
        <v/>
      </c>
      <c r="C30" s="19">
        <f>IF($A30="","",IF(N(Horas!C26)=0,"",Horas!J26/Horas!C26))</f>
        <v/>
      </c>
      <c r="D30" s="19">
        <f>IF($A30="","",IF(N(Horas!D26)=0,"",Horas!K26/Horas!D26))</f>
        <v/>
      </c>
      <c r="E30" s="19">
        <f>IF($A30="","",IF(N(Horas!E26)=0,"",Horas!L26/Horas!E26))</f>
        <v/>
      </c>
      <c r="F30" s="19">
        <f>IF($A30="","",IF(N(Horas!F26)=0,"",Horas!M26/Horas!F26))</f>
        <v/>
      </c>
      <c r="G30" s="19">
        <f>IF($A30="","",IF(N(Horas!G26)=0,"",Horas!N26/Horas!G26))</f>
        <v/>
      </c>
      <c r="H30" s="19">
        <f>IF($A30="","",IF(N(Horas!H26)=0,"",Horas!O26/Horas!H26))</f>
        <v/>
      </c>
      <c r="I30" s="10">
        <f>IF($A30="","",IF(SUM(Horas!C26:H26)=0,"",SUM(Horas!J26:O26)/SUM(Horas!C26:H26)))</f>
        <v/>
      </c>
      <c r="J30" s="3" t="n"/>
      <c r="K30" s="3" t="n"/>
      <c r="L30" s="3" t="n"/>
    </row>
    <row r="31">
      <c r="A31" s="17">
        <f>Horas!A27</f>
        <v/>
      </c>
      <c r="B31" s="18">
        <f>Horas!B27</f>
        <v/>
      </c>
      <c r="C31" s="19">
        <f>IF($A31="","",IF(N(Horas!C27)=0,"",Horas!J27/Horas!C27))</f>
        <v/>
      </c>
      <c r="D31" s="19">
        <f>IF($A31="","",IF(N(Horas!D27)=0,"",Horas!K27/Horas!D27))</f>
        <v/>
      </c>
      <c r="E31" s="19">
        <f>IF($A31="","",IF(N(Horas!E27)=0,"",Horas!L27/Horas!E27))</f>
        <v/>
      </c>
      <c r="F31" s="19">
        <f>IF($A31="","",IF(N(Horas!F27)=0,"",Horas!M27/Horas!F27))</f>
        <v/>
      </c>
      <c r="G31" s="19">
        <f>IF($A31="","",IF(N(Horas!G27)=0,"",Horas!N27/Horas!G27))</f>
        <v/>
      </c>
      <c r="H31" s="19">
        <f>IF($A31="","",IF(N(Horas!H27)=0,"",Horas!O27/Horas!H27))</f>
        <v/>
      </c>
      <c r="I31" s="10">
        <f>IF($A31="","",IF(SUM(Horas!C27:H27)=0,"",SUM(Horas!J27:O27)/SUM(Horas!C27:H27)))</f>
        <v/>
      </c>
      <c r="J31" s="3" t="n"/>
      <c r="K31" s="3" t="n"/>
      <c r="L31" s="3" t="n"/>
    </row>
    <row r="32">
      <c r="A32" s="17">
        <f>Horas!A28</f>
        <v/>
      </c>
      <c r="B32" s="18">
        <f>Horas!B28</f>
        <v/>
      </c>
      <c r="C32" s="19">
        <f>IF($A32="","",IF(N(Horas!C28)=0,"",Horas!J28/Horas!C28))</f>
        <v/>
      </c>
      <c r="D32" s="19">
        <f>IF($A32="","",IF(N(Horas!D28)=0,"",Horas!K28/Horas!D28))</f>
        <v/>
      </c>
      <c r="E32" s="19">
        <f>IF($A32="","",IF(N(Horas!E28)=0,"",Horas!L28/Horas!E28))</f>
        <v/>
      </c>
      <c r="F32" s="19">
        <f>IF($A32="","",IF(N(Horas!F28)=0,"",Horas!M28/Horas!F28))</f>
        <v/>
      </c>
      <c r="G32" s="19">
        <f>IF($A32="","",IF(N(Horas!G28)=0,"",Horas!N28/Horas!G28))</f>
        <v/>
      </c>
      <c r="H32" s="19">
        <f>IF($A32="","",IF(N(Horas!H28)=0,"",Horas!O28/Horas!H28))</f>
        <v/>
      </c>
      <c r="I32" s="10">
        <f>IF($A32="","",IF(SUM(Horas!C28:H28)=0,"",SUM(Horas!J28:O28)/SUM(Horas!C28:H28)))</f>
        <v/>
      </c>
      <c r="J32" s="3" t="n"/>
      <c r="K32" s="3" t="n"/>
      <c r="L32" s="3" t="n"/>
    </row>
    <row r="33">
      <c r="A33" s="17">
        <f>Horas!A29</f>
        <v/>
      </c>
      <c r="B33" s="18">
        <f>Horas!B29</f>
        <v/>
      </c>
      <c r="C33" s="19">
        <f>IF($A33="","",IF(N(Horas!C29)=0,"",Horas!J29/Horas!C29))</f>
        <v/>
      </c>
      <c r="D33" s="19">
        <f>IF($A33="","",IF(N(Horas!D29)=0,"",Horas!K29/Horas!D29))</f>
        <v/>
      </c>
      <c r="E33" s="19">
        <f>IF($A33="","",IF(N(Horas!E29)=0,"",Horas!L29/Horas!E29))</f>
        <v/>
      </c>
      <c r="F33" s="19">
        <f>IF($A33="","",IF(N(Horas!F29)=0,"",Horas!M29/Horas!F29))</f>
        <v/>
      </c>
      <c r="G33" s="19">
        <f>IF($A33="","",IF(N(Horas!G29)=0,"",Horas!N29/Horas!G29))</f>
        <v/>
      </c>
      <c r="H33" s="19">
        <f>IF($A33="","",IF(N(Horas!H29)=0,"",Horas!O29/Horas!H29))</f>
        <v/>
      </c>
      <c r="I33" s="10">
        <f>IF($A33="","",IF(SUM(Horas!C29:H29)=0,"",SUM(Horas!J29:O29)/SUM(Horas!C29:H29)))</f>
        <v/>
      </c>
      <c r="J33" s="3" t="n"/>
      <c r="K33" s="3" t="n"/>
      <c r="L33" s="3" t="n"/>
    </row>
    <row r="34">
      <c r="A34" s="17">
        <f>Horas!A30</f>
        <v/>
      </c>
      <c r="B34" s="18">
        <f>Horas!B30</f>
        <v/>
      </c>
      <c r="C34" s="19">
        <f>IF($A34="","",IF(N(Horas!C30)=0,"",Horas!J30/Horas!C30))</f>
        <v/>
      </c>
      <c r="D34" s="19">
        <f>IF($A34="","",IF(N(Horas!D30)=0,"",Horas!K30/Horas!D30))</f>
        <v/>
      </c>
      <c r="E34" s="19">
        <f>IF($A34="","",IF(N(Horas!E30)=0,"",Horas!L30/Horas!E30))</f>
        <v/>
      </c>
      <c r="F34" s="19">
        <f>IF($A34="","",IF(N(Horas!F30)=0,"",Horas!M30/Horas!F30))</f>
        <v/>
      </c>
      <c r="G34" s="19">
        <f>IF($A34="","",IF(N(Horas!G30)=0,"",Horas!N30/Horas!G30))</f>
        <v/>
      </c>
      <c r="H34" s="19">
        <f>IF($A34="","",IF(N(Horas!H30)=0,"",Horas!O30/Horas!H30))</f>
        <v/>
      </c>
      <c r="I34" s="10">
        <f>IF($A34="","",IF(SUM(Horas!C30:H30)=0,"",SUM(Horas!J30:O30)/SUM(Horas!C30:H30)))</f>
        <v/>
      </c>
      <c r="J34" s="3" t="n"/>
      <c r="K34" s="3" t="n"/>
      <c r="L34" s="3" t="n"/>
    </row>
    <row r="35">
      <c r="A35" s="17">
        <f>Horas!A31</f>
        <v/>
      </c>
      <c r="B35" s="18">
        <f>Horas!B31</f>
        <v/>
      </c>
      <c r="C35" s="19">
        <f>IF($A35="","",IF(N(Horas!C31)=0,"",Horas!J31/Horas!C31))</f>
        <v/>
      </c>
      <c r="D35" s="19">
        <f>IF($A35="","",IF(N(Horas!D31)=0,"",Horas!K31/Horas!D31))</f>
        <v/>
      </c>
      <c r="E35" s="19">
        <f>IF($A35="","",IF(N(Horas!E31)=0,"",Horas!L31/Horas!E31))</f>
        <v/>
      </c>
      <c r="F35" s="19">
        <f>IF($A35="","",IF(N(Horas!F31)=0,"",Horas!M31/Horas!F31))</f>
        <v/>
      </c>
      <c r="G35" s="19">
        <f>IF($A35="","",IF(N(Horas!G31)=0,"",Horas!N31/Horas!G31))</f>
        <v/>
      </c>
      <c r="H35" s="19">
        <f>IF($A35="","",IF(N(Horas!H31)=0,"",Horas!O31/Horas!H31))</f>
        <v/>
      </c>
      <c r="I35" s="10">
        <f>IF($A35="","",IF(SUM(Horas!C31:H31)=0,"",SUM(Horas!J31:O31)/SUM(Horas!C31:H31)))</f>
        <v/>
      </c>
      <c r="J35" s="3" t="n"/>
      <c r="K35" s="3" t="n"/>
      <c r="L35" s="3" t="n"/>
    </row>
    <row r="36">
      <c r="A36" s="17">
        <f>Horas!A32</f>
        <v/>
      </c>
      <c r="B36" s="18">
        <f>Horas!B32</f>
        <v/>
      </c>
      <c r="C36" s="19">
        <f>IF($A36="","",IF(N(Horas!C32)=0,"",Horas!J32/Horas!C32))</f>
        <v/>
      </c>
      <c r="D36" s="19">
        <f>IF($A36="","",IF(N(Horas!D32)=0,"",Horas!K32/Horas!D32))</f>
        <v/>
      </c>
      <c r="E36" s="19">
        <f>IF($A36="","",IF(N(Horas!E32)=0,"",Horas!L32/Horas!E32))</f>
        <v/>
      </c>
      <c r="F36" s="19">
        <f>IF($A36="","",IF(N(Horas!F32)=0,"",Horas!M32/Horas!F32))</f>
        <v/>
      </c>
      <c r="G36" s="19">
        <f>IF($A36="","",IF(N(Horas!G32)=0,"",Horas!N32/Horas!G32))</f>
        <v/>
      </c>
      <c r="H36" s="19">
        <f>IF($A36="","",IF(N(Horas!H32)=0,"",Horas!O32/Horas!H32))</f>
        <v/>
      </c>
      <c r="I36" s="10">
        <f>IF($A36="","",IF(SUM(Horas!C32:H32)=0,"",SUM(Horas!J32:O32)/SUM(Horas!C32:H32)))</f>
        <v/>
      </c>
      <c r="J36" s="3" t="n"/>
      <c r="K36" s="3" t="n"/>
      <c r="L36" s="3" t="n"/>
    </row>
    <row r="37">
      <c r="A37" s="17">
        <f>Horas!A33</f>
        <v/>
      </c>
      <c r="B37" s="18">
        <f>Horas!B33</f>
        <v/>
      </c>
      <c r="C37" s="19">
        <f>IF($A37="","",IF(N(Horas!C33)=0,"",Horas!J33/Horas!C33))</f>
        <v/>
      </c>
      <c r="D37" s="19">
        <f>IF($A37="","",IF(N(Horas!D33)=0,"",Horas!K33/Horas!D33))</f>
        <v/>
      </c>
      <c r="E37" s="19">
        <f>IF($A37="","",IF(N(Horas!E33)=0,"",Horas!L33/Horas!E33))</f>
        <v/>
      </c>
      <c r="F37" s="19">
        <f>IF($A37="","",IF(N(Horas!F33)=0,"",Horas!M33/Horas!F33))</f>
        <v/>
      </c>
      <c r="G37" s="19">
        <f>IF($A37="","",IF(N(Horas!G33)=0,"",Horas!N33/Horas!G33))</f>
        <v/>
      </c>
      <c r="H37" s="19">
        <f>IF($A37="","",IF(N(Horas!H33)=0,"",Horas!O33/Horas!H33))</f>
        <v/>
      </c>
      <c r="I37" s="10">
        <f>IF($A37="","",IF(SUM(Horas!C33:H33)=0,"",SUM(Horas!J33:O33)/SUM(Horas!C33:H33)))</f>
        <v/>
      </c>
      <c r="J37" s="3" t="n"/>
      <c r="K37" s="3" t="n"/>
      <c r="L37" s="3" t="n"/>
    </row>
    <row r="38">
      <c r="A38" s="17">
        <f>Horas!A34</f>
        <v/>
      </c>
      <c r="B38" s="18">
        <f>Horas!B34</f>
        <v/>
      </c>
      <c r="C38" s="19">
        <f>IF($A38="","",IF(N(Horas!C34)=0,"",Horas!J34/Horas!C34))</f>
        <v/>
      </c>
      <c r="D38" s="19">
        <f>IF($A38="","",IF(N(Horas!D34)=0,"",Horas!K34/Horas!D34))</f>
        <v/>
      </c>
      <c r="E38" s="19">
        <f>IF($A38="","",IF(N(Horas!E34)=0,"",Horas!L34/Horas!E34))</f>
        <v/>
      </c>
      <c r="F38" s="19">
        <f>IF($A38="","",IF(N(Horas!F34)=0,"",Horas!M34/Horas!F34))</f>
        <v/>
      </c>
      <c r="G38" s="19">
        <f>IF($A38="","",IF(N(Horas!G34)=0,"",Horas!N34/Horas!G34))</f>
        <v/>
      </c>
      <c r="H38" s="19">
        <f>IF($A38="","",IF(N(Horas!H34)=0,"",Horas!O34/Horas!H34))</f>
        <v/>
      </c>
      <c r="I38" s="10">
        <f>IF($A38="","",IF(SUM(Horas!C34:H34)=0,"",SUM(Horas!J34:O34)/SUM(Horas!C34:H34)))</f>
        <v/>
      </c>
      <c r="J38" s="3" t="n"/>
      <c r="K38" s="3" t="n"/>
      <c r="L38" s="3" t="n"/>
    </row>
    <row r="39">
      <c r="A39" s="17">
        <f>Horas!A35</f>
        <v/>
      </c>
      <c r="B39" s="18">
        <f>Horas!B35</f>
        <v/>
      </c>
      <c r="C39" s="19">
        <f>IF($A39="","",IF(N(Horas!C35)=0,"",Horas!J35/Horas!C35))</f>
        <v/>
      </c>
      <c r="D39" s="19">
        <f>IF($A39="","",IF(N(Horas!D35)=0,"",Horas!K35/Horas!D35))</f>
        <v/>
      </c>
      <c r="E39" s="19">
        <f>IF($A39="","",IF(N(Horas!E35)=0,"",Horas!L35/Horas!E35))</f>
        <v/>
      </c>
      <c r="F39" s="19">
        <f>IF($A39="","",IF(N(Horas!F35)=0,"",Horas!M35/Horas!F35))</f>
        <v/>
      </c>
      <c r="G39" s="19">
        <f>IF($A39="","",IF(N(Horas!G35)=0,"",Horas!N35/Horas!G35))</f>
        <v/>
      </c>
      <c r="H39" s="19">
        <f>IF($A39="","",IF(N(Horas!H35)=0,"",Horas!O35/Horas!H35))</f>
        <v/>
      </c>
      <c r="I39" s="10">
        <f>IF($A39="","",IF(SUM(Horas!C35:H35)=0,"",SUM(Horas!J35:O35)/SUM(Horas!C35:H35)))</f>
        <v/>
      </c>
      <c r="J39" s="3" t="n"/>
      <c r="K39" s="3" t="n"/>
      <c r="L39" s="3" t="n"/>
    </row>
    <row r="40">
      <c r="A40" s="17">
        <f>Horas!A36</f>
        <v/>
      </c>
      <c r="B40" s="18">
        <f>Horas!B36</f>
        <v/>
      </c>
      <c r="C40" s="19">
        <f>IF($A40="","",IF(N(Horas!C36)=0,"",Horas!J36/Horas!C36))</f>
        <v/>
      </c>
      <c r="D40" s="19">
        <f>IF($A40="","",IF(N(Horas!D36)=0,"",Horas!K36/Horas!D36))</f>
        <v/>
      </c>
      <c r="E40" s="19">
        <f>IF($A40="","",IF(N(Horas!E36)=0,"",Horas!L36/Horas!E36))</f>
        <v/>
      </c>
      <c r="F40" s="19">
        <f>IF($A40="","",IF(N(Horas!F36)=0,"",Horas!M36/Horas!F36))</f>
        <v/>
      </c>
      <c r="G40" s="19">
        <f>IF($A40="","",IF(N(Horas!G36)=0,"",Horas!N36/Horas!G36))</f>
        <v/>
      </c>
      <c r="H40" s="19">
        <f>IF($A40="","",IF(N(Horas!H36)=0,"",Horas!O36/Horas!H36))</f>
        <v/>
      </c>
      <c r="I40" s="10">
        <f>IF($A40="","",IF(SUM(Horas!C36:H36)=0,"",SUM(Horas!J36:O36)/SUM(Horas!C36:H36)))</f>
        <v/>
      </c>
      <c r="J40" s="3" t="n"/>
      <c r="K40" s="3" t="n"/>
      <c r="L40" s="3" t="n"/>
    </row>
    <row r="41">
      <c r="A41" s="17">
        <f>Horas!A37</f>
        <v/>
      </c>
      <c r="B41" s="18">
        <f>Horas!B37</f>
        <v/>
      </c>
      <c r="C41" s="19">
        <f>IF($A41="","",IF(N(Horas!C37)=0,"",Horas!J37/Horas!C37))</f>
        <v/>
      </c>
      <c r="D41" s="19">
        <f>IF($A41="","",IF(N(Horas!D37)=0,"",Horas!K37/Horas!D37))</f>
        <v/>
      </c>
      <c r="E41" s="19">
        <f>IF($A41="","",IF(N(Horas!E37)=0,"",Horas!L37/Horas!E37))</f>
        <v/>
      </c>
      <c r="F41" s="19">
        <f>IF($A41="","",IF(N(Horas!F37)=0,"",Horas!M37/Horas!F37))</f>
        <v/>
      </c>
      <c r="G41" s="19">
        <f>IF($A41="","",IF(N(Horas!G37)=0,"",Horas!N37/Horas!G37))</f>
        <v/>
      </c>
      <c r="H41" s="19">
        <f>IF($A41="","",IF(N(Horas!H37)=0,"",Horas!O37/Horas!H37))</f>
        <v/>
      </c>
      <c r="I41" s="10">
        <f>IF($A41="","",IF(SUM(Horas!C37:H37)=0,"",SUM(Horas!J37:O37)/SUM(Horas!C37:H37)))</f>
        <v/>
      </c>
      <c r="J41" s="3" t="n"/>
      <c r="K41" s="3" t="n"/>
      <c r="L41" s="3" t="n"/>
    </row>
    <row r="42">
      <c r="A42" s="17">
        <f>Horas!A38</f>
        <v/>
      </c>
      <c r="B42" s="18">
        <f>Horas!B38</f>
        <v/>
      </c>
      <c r="C42" s="19">
        <f>IF($A42="","",IF(N(Horas!C38)=0,"",Horas!J38/Horas!C38))</f>
        <v/>
      </c>
      <c r="D42" s="19">
        <f>IF($A42="","",IF(N(Horas!D38)=0,"",Horas!K38/Horas!D38))</f>
        <v/>
      </c>
      <c r="E42" s="19">
        <f>IF($A42="","",IF(N(Horas!E38)=0,"",Horas!L38/Horas!E38))</f>
        <v/>
      </c>
      <c r="F42" s="19">
        <f>IF($A42="","",IF(N(Horas!F38)=0,"",Horas!M38/Horas!F38))</f>
        <v/>
      </c>
      <c r="G42" s="19">
        <f>IF($A42="","",IF(N(Horas!G38)=0,"",Horas!N38/Horas!G38))</f>
        <v/>
      </c>
      <c r="H42" s="19">
        <f>IF($A42="","",IF(N(Horas!H38)=0,"",Horas!O38/Horas!H38))</f>
        <v/>
      </c>
      <c r="I42" s="10">
        <f>IF($A42="","",IF(SUM(Horas!C38:H38)=0,"",SUM(Horas!J38:O38)/SUM(Horas!C38:H38)))</f>
        <v/>
      </c>
      <c r="J42" s="3" t="n"/>
      <c r="K42" s="3" t="n"/>
      <c r="L42" s="3" t="n"/>
    </row>
    <row r="43">
      <c r="A43" s="17">
        <f>Horas!A39</f>
        <v/>
      </c>
      <c r="B43" s="18">
        <f>Horas!B39</f>
        <v/>
      </c>
      <c r="C43" s="19">
        <f>IF($A43="","",IF(N(Horas!C39)=0,"",Horas!J39/Horas!C39))</f>
        <v/>
      </c>
      <c r="D43" s="19">
        <f>IF($A43="","",IF(N(Horas!D39)=0,"",Horas!K39/Horas!D39))</f>
        <v/>
      </c>
      <c r="E43" s="19">
        <f>IF($A43="","",IF(N(Horas!E39)=0,"",Horas!L39/Horas!E39))</f>
        <v/>
      </c>
      <c r="F43" s="19">
        <f>IF($A43="","",IF(N(Horas!F39)=0,"",Horas!M39/Horas!F39))</f>
        <v/>
      </c>
      <c r="G43" s="19">
        <f>IF($A43="","",IF(N(Horas!G39)=0,"",Horas!N39/Horas!G39))</f>
        <v/>
      </c>
      <c r="H43" s="19">
        <f>IF($A43="","",IF(N(Horas!H39)=0,"",Horas!O39/Horas!H39))</f>
        <v/>
      </c>
      <c r="I43" s="10">
        <f>IF($A43="","",IF(SUM(Horas!C39:H39)=0,"",SUM(Horas!J39:O39)/SUM(Horas!C39:H39)))</f>
        <v/>
      </c>
      <c r="J43" s="3" t="n"/>
      <c r="K43" s="3" t="n"/>
      <c r="L43" s="3" t="n"/>
    </row>
    <row r="44">
      <c r="A44" s="17">
        <f>Horas!A40</f>
        <v/>
      </c>
      <c r="B44" s="18">
        <f>Horas!B40</f>
        <v/>
      </c>
      <c r="C44" s="19">
        <f>IF($A44="","",IF(N(Horas!C40)=0,"",Horas!J40/Horas!C40))</f>
        <v/>
      </c>
      <c r="D44" s="19">
        <f>IF($A44="","",IF(N(Horas!D40)=0,"",Horas!K40/Horas!D40))</f>
        <v/>
      </c>
      <c r="E44" s="19">
        <f>IF($A44="","",IF(N(Horas!E40)=0,"",Horas!L40/Horas!E40))</f>
        <v/>
      </c>
      <c r="F44" s="19">
        <f>IF($A44="","",IF(N(Horas!F40)=0,"",Horas!M40/Horas!F40))</f>
        <v/>
      </c>
      <c r="G44" s="19">
        <f>IF($A44="","",IF(N(Horas!G40)=0,"",Horas!N40/Horas!G40))</f>
        <v/>
      </c>
      <c r="H44" s="19">
        <f>IF($A44="","",IF(N(Horas!H40)=0,"",Horas!O40/Horas!H40))</f>
        <v/>
      </c>
      <c r="I44" s="10">
        <f>IF($A44="","",IF(SUM(Horas!C40:H40)=0,"",SUM(Horas!J40:O40)/SUM(Horas!C40:H40)))</f>
        <v/>
      </c>
      <c r="J44" s="3" t="n"/>
      <c r="K44" s="3" t="n"/>
      <c r="L44" s="3" t="n"/>
    </row>
    <row r="45">
      <c r="A45" s="17">
        <f>Horas!A41</f>
        <v/>
      </c>
      <c r="B45" s="18">
        <f>Horas!B41</f>
        <v/>
      </c>
      <c r="C45" s="19">
        <f>IF($A45="","",IF(N(Horas!C41)=0,"",Horas!J41/Horas!C41))</f>
        <v/>
      </c>
      <c r="D45" s="19">
        <f>IF($A45="","",IF(N(Horas!D41)=0,"",Horas!K41/Horas!D41))</f>
        <v/>
      </c>
      <c r="E45" s="19">
        <f>IF($A45="","",IF(N(Horas!E41)=0,"",Horas!L41/Horas!E41))</f>
        <v/>
      </c>
      <c r="F45" s="19">
        <f>IF($A45="","",IF(N(Horas!F41)=0,"",Horas!M41/Horas!F41))</f>
        <v/>
      </c>
      <c r="G45" s="19">
        <f>IF($A45="","",IF(N(Horas!G41)=0,"",Horas!N41/Horas!G41))</f>
        <v/>
      </c>
      <c r="H45" s="19">
        <f>IF($A45="","",IF(N(Horas!H41)=0,"",Horas!O41/Horas!H41))</f>
        <v/>
      </c>
      <c r="I45" s="10">
        <f>IF($A45="","",IF(SUM(Horas!C41:H41)=0,"",SUM(Horas!J41:O41)/SUM(Horas!C41:H41)))</f>
        <v/>
      </c>
      <c r="J45" s="3" t="n"/>
      <c r="K45" s="3" t="n"/>
      <c r="L45" s="3" t="n"/>
    </row>
    <row r="46">
      <c r="A46" s="17">
        <f>Horas!A42</f>
        <v/>
      </c>
      <c r="B46" s="18">
        <f>Horas!B42</f>
        <v/>
      </c>
      <c r="C46" s="19">
        <f>IF($A46="","",IF(N(Horas!C42)=0,"",Horas!J42/Horas!C42))</f>
        <v/>
      </c>
      <c r="D46" s="19">
        <f>IF($A46="","",IF(N(Horas!D42)=0,"",Horas!K42/Horas!D42))</f>
        <v/>
      </c>
      <c r="E46" s="19">
        <f>IF($A46="","",IF(N(Horas!E42)=0,"",Horas!L42/Horas!E42))</f>
        <v/>
      </c>
      <c r="F46" s="19">
        <f>IF($A46="","",IF(N(Horas!F42)=0,"",Horas!M42/Horas!F42))</f>
        <v/>
      </c>
      <c r="G46" s="19">
        <f>IF($A46="","",IF(N(Horas!G42)=0,"",Horas!N42/Horas!G42))</f>
        <v/>
      </c>
      <c r="H46" s="19">
        <f>IF($A46="","",IF(N(Horas!H42)=0,"",Horas!O42/Horas!H42))</f>
        <v/>
      </c>
      <c r="I46" s="10">
        <f>IF($A46="","",IF(SUM(Horas!C42:H42)=0,"",SUM(Horas!J42:O42)/SUM(Horas!C42:H42)))</f>
        <v/>
      </c>
      <c r="J46" s="3" t="n"/>
      <c r="K46" s="3" t="n"/>
      <c r="L46" s="3" t="n"/>
    </row>
    <row r="47">
      <c r="A47" s="17">
        <f>Horas!A43</f>
        <v/>
      </c>
      <c r="B47" s="18">
        <f>Horas!B43</f>
        <v/>
      </c>
      <c r="C47" s="19">
        <f>IF($A47="","",IF(N(Horas!C43)=0,"",Horas!J43/Horas!C43))</f>
        <v/>
      </c>
      <c r="D47" s="19">
        <f>IF($A47="","",IF(N(Horas!D43)=0,"",Horas!K43/Horas!D43))</f>
        <v/>
      </c>
      <c r="E47" s="19">
        <f>IF($A47="","",IF(N(Horas!E43)=0,"",Horas!L43/Horas!E43))</f>
        <v/>
      </c>
      <c r="F47" s="19">
        <f>IF($A47="","",IF(N(Horas!F43)=0,"",Horas!M43/Horas!F43))</f>
        <v/>
      </c>
      <c r="G47" s="19">
        <f>IF($A47="","",IF(N(Horas!G43)=0,"",Horas!N43/Horas!G43))</f>
        <v/>
      </c>
      <c r="H47" s="19">
        <f>IF($A47="","",IF(N(Horas!H43)=0,"",Horas!O43/Horas!H43))</f>
        <v/>
      </c>
      <c r="I47" s="10">
        <f>IF($A47="","",IF(SUM(Horas!C43:H43)=0,"",SUM(Horas!J43:O43)/SUM(Horas!C43:H43)))</f>
        <v/>
      </c>
      <c r="J47" s="3" t="n"/>
      <c r="K47" s="3" t="n"/>
      <c r="L47" s="3" t="n"/>
    </row>
    <row r="48">
      <c r="A48" s="17">
        <f>Horas!A44</f>
        <v/>
      </c>
      <c r="B48" s="18">
        <f>Horas!B44</f>
        <v/>
      </c>
      <c r="C48" s="19">
        <f>IF($A48="","",IF(N(Horas!C44)=0,"",Horas!J44/Horas!C44))</f>
        <v/>
      </c>
      <c r="D48" s="19">
        <f>IF($A48="","",IF(N(Horas!D44)=0,"",Horas!K44/Horas!D44))</f>
        <v/>
      </c>
      <c r="E48" s="19">
        <f>IF($A48="","",IF(N(Horas!E44)=0,"",Horas!L44/Horas!E44))</f>
        <v/>
      </c>
      <c r="F48" s="19">
        <f>IF($A48="","",IF(N(Horas!F44)=0,"",Horas!M44/Horas!F44))</f>
        <v/>
      </c>
      <c r="G48" s="19">
        <f>IF($A48="","",IF(N(Horas!G44)=0,"",Horas!N44/Horas!G44))</f>
        <v/>
      </c>
      <c r="H48" s="19">
        <f>IF($A48="","",IF(N(Horas!H44)=0,"",Horas!O44/Horas!H44))</f>
        <v/>
      </c>
      <c r="I48" s="10">
        <f>IF($A48="","",IF(SUM(Horas!C44:H44)=0,"",SUM(Horas!J44:O44)/SUM(Horas!C44:H44)))</f>
        <v/>
      </c>
      <c r="J48" s="3" t="n"/>
      <c r="K48" s="3" t="n"/>
      <c r="L48" s="3" t="n"/>
    </row>
    <row r="49">
      <c r="A49" s="17">
        <f>Horas!A45</f>
        <v/>
      </c>
      <c r="B49" s="18">
        <f>Horas!B45</f>
        <v/>
      </c>
      <c r="C49" s="19">
        <f>IF($A49="","",IF(N(Horas!C45)=0,"",Horas!J45/Horas!C45))</f>
        <v/>
      </c>
      <c r="D49" s="19">
        <f>IF($A49="","",IF(N(Horas!D45)=0,"",Horas!K45/Horas!D45))</f>
        <v/>
      </c>
      <c r="E49" s="19">
        <f>IF($A49="","",IF(N(Horas!E45)=0,"",Horas!L45/Horas!E45))</f>
        <v/>
      </c>
      <c r="F49" s="19">
        <f>IF($A49="","",IF(N(Horas!F45)=0,"",Horas!M45/Horas!F45))</f>
        <v/>
      </c>
      <c r="G49" s="19">
        <f>IF($A49="","",IF(N(Horas!G45)=0,"",Horas!N45/Horas!G45))</f>
        <v/>
      </c>
      <c r="H49" s="19">
        <f>IF($A49="","",IF(N(Horas!H45)=0,"",Horas!O45/Horas!H45))</f>
        <v/>
      </c>
      <c r="I49" s="10">
        <f>IF($A49="","",IF(SUM(Horas!C45:H45)=0,"",SUM(Horas!J45:O45)/SUM(Horas!C45:H45)))</f>
        <v/>
      </c>
      <c r="J49" s="3" t="n"/>
      <c r="K49" s="3" t="n"/>
      <c r="L49" s="3" t="n"/>
    </row>
    <row r="50">
      <c r="A50" s="17">
        <f>Horas!A46</f>
        <v/>
      </c>
      <c r="B50" s="18">
        <f>Horas!B46</f>
        <v/>
      </c>
      <c r="C50" s="19">
        <f>IF($A50="","",IF(N(Horas!C46)=0,"",Horas!J46/Horas!C46))</f>
        <v/>
      </c>
      <c r="D50" s="19">
        <f>IF($A50="","",IF(N(Horas!D46)=0,"",Horas!K46/Horas!D46))</f>
        <v/>
      </c>
      <c r="E50" s="19">
        <f>IF($A50="","",IF(N(Horas!E46)=0,"",Horas!L46/Horas!E46))</f>
        <v/>
      </c>
      <c r="F50" s="19">
        <f>IF($A50="","",IF(N(Horas!F46)=0,"",Horas!M46/Horas!F46))</f>
        <v/>
      </c>
      <c r="G50" s="19">
        <f>IF($A50="","",IF(N(Horas!G46)=0,"",Horas!N46/Horas!G46))</f>
        <v/>
      </c>
      <c r="H50" s="19">
        <f>IF($A50="","",IF(N(Horas!H46)=0,"",Horas!O46/Horas!H46))</f>
        <v/>
      </c>
      <c r="I50" s="10">
        <f>IF($A50="","",IF(SUM(Horas!C46:H46)=0,"",SUM(Horas!J46:O46)/SUM(Horas!C46:H46)))</f>
        <v/>
      </c>
      <c r="J50" s="3" t="n"/>
      <c r="K50" s="3" t="n"/>
      <c r="L50" s="3" t="n"/>
    </row>
    <row r="51">
      <c r="A51" s="17">
        <f>Horas!A47</f>
        <v/>
      </c>
      <c r="B51" s="18">
        <f>Horas!B47</f>
        <v/>
      </c>
      <c r="C51" s="19">
        <f>IF($A51="","",IF(N(Horas!C47)=0,"",Horas!J47/Horas!C47))</f>
        <v/>
      </c>
      <c r="D51" s="19">
        <f>IF($A51="","",IF(N(Horas!D47)=0,"",Horas!K47/Horas!D47))</f>
        <v/>
      </c>
      <c r="E51" s="19">
        <f>IF($A51="","",IF(N(Horas!E47)=0,"",Horas!L47/Horas!E47))</f>
        <v/>
      </c>
      <c r="F51" s="19">
        <f>IF($A51="","",IF(N(Horas!F47)=0,"",Horas!M47/Horas!F47))</f>
        <v/>
      </c>
      <c r="G51" s="19">
        <f>IF($A51="","",IF(N(Horas!G47)=0,"",Horas!N47/Horas!G47))</f>
        <v/>
      </c>
      <c r="H51" s="19">
        <f>IF($A51="","",IF(N(Horas!H47)=0,"",Horas!O47/Horas!H47))</f>
        <v/>
      </c>
      <c r="I51" s="10">
        <f>IF($A51="","",IF(SUM(Horas!C47:H47)=0,"",SUM(Horas!J47:O47)/SUM(Horas!C47:H47)))</f>
        <v/>
      </c>
      <c r="J51" s="3" t="n"/>
      <c r="K51" s="3" t="n"/>
      <c r="L51" s="3" t="n"/>
    </row>
    <row r="52">
      <c r="A52" s="17">
        <f>Horas!A48</f>
        <v/>
      </c>
      <c r="B52" s="18">
        <f>Horas!B48</f>
        <v/>
      </c>
      <c r="C52" s="19">
        <f>IF($A52="","",IF(N(Horas!C48)=0,"",Horas!J48/Horas!C48))</f>
        <v/>
      </c>
      <c r="D52" s="19">
        <f>IF($A52="","",IF(N(Horas!D48)=0,"",Horas!K48/Horas!D48))</f>
        <v/>
      </c>
      <c r="E52" s="19">
        <f>IF($A52="","",IF(N(Horas!E48)=0,"",Horas!L48/Horas!E48))</f>
        <v/>
      </c>
      <c r="F52" s="19">
        <f>IF($A52="","",IF(N(Horas!F48)=0,"",Horas!M48/Horas!F48))</f>
        <v/>
      </c>
      <c r="G52" s="19">
        <f>IF($A52="","",IF(N(Horas!G48)=0,"",Horas!N48/Horas!G48))</f>
        <v/>
      </c>
      <c r="H52" s="19">
        <f>IF($A52="","",IF(N(Horas!H48)=0,"",Horas!O48/Horas!H48))</f>
        <v/>
      </c>
      <c r="I52" s="10">
        <f>IF($A52="","",IF(SUM(Horas!C48:H48)=0,"",SUM(Horas!J48:O48)/SUM(Horas!C48:H48)))</f>
        <v/>
      </c>
      <c r="J52" s="3" t="n"/>
      <c r="K52" s="3" t="n"/>
      <c r="L52" s="3" t="n"/>
    </row>
    <row r="53">
      <c r="A53" s="17">
        <f>Horas!A49</f>
        <v/>
      </c>
      <c r="B53" s="18">
        <f>Horas!B49</f>
        <v/>
      </c>
      <c r="C53" s="19">
        <f>IF($A53="","",IF(N(Horas!C49)=0,"",Horas!J49/Horas!C49))</f>
        <v/>
      </c>
      <c r="D53" s="19">
        <f>IF($A53="","",IF(N(Horas!D49)=0,"",Horas!K49/Horas!D49))</f>
        <v/>
      </c>
      <c r="E53" s="19">
        <f>IF($A53="","",IF(N(Horas!E49)=0,"",Horas!L49/Horas!E49))</f>
        <v/>
      </c>
      <c r="F53" s="19">
        <f>IF($A53="","",IF(N(Horas!F49)=0,"",Horas!M49/Horas!F49))</f>
        <v/>
      </c>
      <c r="G53" s="19">
        <f>IF($A53="","",IF(N(Horas!G49)=0,"",Horas!N49/Horas!G49))</f>
        <v/>
      </c>
      <c r="H53" s="19">
        <f>IF($A53="","",IF(N(Horas!H49)=0,"",Horas!O49/Horas!H49))</f>
        <v/>
      </c>
      <c r="I53" s="10">
        <f>IF($A53="","",IF(SUM(Horas!C49:H49)=0,"",SUM(Horas!J49:O49)/SUM(Horas!C49:H49)))</f>
        <v/>
      </c>
      <c r="J53" s="3" t="n"/>
      <c r="K53" s="3" t="n"/>
      <c r="L53" s="3" t="n"/>
    </row>
    <row r="54">
      <c r="A54" s="17">
        <f>Horas!A50</f>
        <v/>
      </c>
      <c r="B54" s="18">
        <f>Horas!B50</f>
        <v/>
      </c>
      <c r="C54" s="19">
        <f>IF($A54="","",IF(N(Horas!C50)=0,"",Horas!J50/Horas!C50))</f>
        <v/>
      </c>
      <c r="D54" s="19">
        <f>IF($A54="","",IF(N(Horas!D50)=0,"",Horas!K50/Horas!D50))</f>
        <v/>
      </c>
      <c r="E54" s="19">
        <f>IF($A54="","",IF(N(Horas!E50)=0,"",Horas!L50/Horas!E50))</f>
        <v/>
      </c>
      <c r="F54" s="19">
        <f>IF($A54="","",IF(N(Horas!F50)=0,"",Horas!M50/Horas!F50))</f>
        <v/>
      </c>
      <c r="G54" s="19">
        <f>IF($A54="","",IF(N(Horas!G50)=0,"",Horas!N50/Horas!G50))</f>
        <v/>
      </c>
      <c r="H54" s="19">
        <f>IF($A54="","",IF(N(Horas!H50)=0,"",Horas!O50/Horas!H50))</f>
        <v/>
      </c>
      <c r="I54" s="10">
        <f>IF($A54="","",IF(SUM(Horas!C50:H50)=0,"",SUM(Horas!J50:O50)/SUM(Horas!C50:H50)))</f>
        <v/>
      </c>
      <c r="J54" s="3" t="n"/>
      <c r="K54" s="3" t="n"/>
      <c r="L54" s="3" t="n"/>
    </row>
    <row r="55">
      <c r="A55" s="17">
        <f>Horas!A51</f>
        <v/>
      </c>
      <c r="B55" s="18">
        <f>Horas!B51</f>
        <v/>
      </c>
      <c r="C55" s="19">
        <f>IF($A55="","",IF(N(Horas!C51)=0,"",Horas!J51/Horas!C51))</f>
        <v/>
      </c>
      <c r="D55" s="19">
        <f>IF($A55="","",IF(N(Horas!D51)=0,"",Horas!K51/Horas!D51))</f>
        <v/>
      </c>
      <c r="E55" s="19">
        <f>IF($A55="","",IF(N(Horas!E51)=0,"",Horas!L51/Horas!E51))</f>
        <v/>
      </c>
      <c r="F55" s="19">
        <f>IF($A55="","",IF(N(Horas!F51)=0,"",Horas!M51/Horas!F51))</f>
        <v/>
      </c>
      <c r="G55" s="19">
        <f>IF($A55="","",IF(N(Horas!G51)=0,"",Horas!N51/Horas!G51))</f>
        <v/>
      </c>
      <c r="H55" s="19">
        <f>IF($A55="","",IF(N(Horas!H51)=0,"",Horas!O51/Horas!H51))</f>
        <v/>
      </c>
      <c r="I55" s="10">
        <f>IF($A55="","",IF(SUM(Horas!C51:H51)=0,"",SUM(Horas!J51:O51)/SUM(Horas!C51:H51)))</f>
        <v/>
      </c>
      <c r="J55" s="3" t="n"/>
      <c r="K55" s="3" t="n"/>
      <c r="L55" s="3" t="n"/>
    </row>
    <row r="56">
      <c r="A56" s="17">
        <f>Horas!A52</f>
        <v/>
      </c>
      <c r="B56" s="18">
        <f>Horas!B52</f>
        <v/>
      </c>
      <c r="C56" s="19">
        <f>IF($A56="","",IF(N(Horas!C52)=0,"",Horas!J52/Horas!C52))</f>
        <v/>
      </c>
      <c r="D56" s="19">
        <f>IF($A56="","",IF(N(Horas!D52)=0,"",Horas!K52/Horas!D52))</f>
        <v/>
      </c>
      <c r="E56" s="19">
        <f>IF($A56="","",IF(N(Horas!E52)=0,"",Horas!L52/Horas!E52))</f>
        <v/>
      </c>
      <c r="F56" s="19">
        <f>IF($A56="","",IF(N(Horas!F52)=0,"",Horas!M52/Horas!F52))</f>
        <v/>
      </c>
      <c r="G56" s="19">
        <f>IF($A56="","",IF(N(Horas!G52)=0,"",Horas!N52/Horas!G52))</f>
        <v/>
      </c>
      <c r="H56" s="19">
        <f>IF($A56="","",IF(N(Horas!H52)=0,"",Horas!O52/Horas!H52))</f>
        <v/>
      </c>
      <c r="I56" s="10">
        <f>IF($A56="","",IF(SUM(Horas!C52:H52)=0,"",SUM(Horas!J52:O52)/SUM(Horas!C52:H52)))</f>
        <v/>
      </c>
      <c r="J56" s="3" t="n"/>
      <c r="K56" s="3" t="n"/>
      <c r="L56" s="3" t="n"/>
    </row>
    <row r="57">
      <c r="A57" s="17">
        <f>Horas!A53</f>
        <v/>
      </c>
      <c r="B57" s="18">
        <f>Horas!B53</f>
        <v/>
      </c>
      <c r="C57" s="19">
        <f>IF($A57="","",IF(N(Horas!C53)=0,"",Horas!J53/Horas!C53))</f>
        <v/>
      </c>
      <c r="D57" s="19">
        <f>IF($A57="","",IF(N(Horas!D53)=0,"",Horas!K53/Horas!D53))</f>
        <v/>
      </c>
      <c r="E57" s="19">
        <f>IF($A57="","",IF(N(Horas!E53)=0,"",Horas!L53/Horas!E53))</f>
        <v/>
      </c>
      <c r="F57" s="19">
        <f>IF($A57="","",IF(N(Horas!F53)=0,"",Horas!M53/Horas!F53))</f>
        <v/>
      </c>
      <c r="G57" s="19">
        <f>IF($A57="","",IF(N(Horas!G53)=0,"",Horas!N53/Horas!G53))</f>
        <v/>
      </c>
      <c r="H57" s="19">
        <f>IF($A57="","",IF(N(Horas!H53)=0,"",Horas!O53/Horas!H53))</f>
        <v/>
      </c>
      <c r="I57" s="10">
        <f>IF($A57="","",IF(SUM(Horas!C53:H53)=0,"",SUM(Horas!J53:O53)/SUM(Horas!C53:H53)))</f>
        <v/>
      </c>
      <c r="J57" s="3" t="n"/>
      <c r="K57" s="3" t="n"/>
      <c r="L57" s="3" t="n"/>
    </row>
    <row r="58">
      <c r="A58" s="17">
        <f>Horas!A54</f>
        <v/>
      </c>
      <c r="B58" s="18">
        <f>Horas!B54</f>
        <v/>
      </c>
      <c r="C58" s="19">
        <f>IF($A58="","",IF(N(Horas!C54)=0,"",Horas!J54/Horas!C54))</f>
        <v/>
      </c>
      <c r="D58" s="19">
        <f>IF($A58="","",IF(N(Horas!D54)=0,"",Horas!K54/Horas!D54))</f>
        <v/>
      </c>
      <c r="E58" s="19">
        <f>IF($A58="","",IF(N(Horas!E54)=0,"",Horas!L54/Horas!E54))</f>
        <v/>
      </c>
      <c r="F58" s="19">
        <f>IF($A58="","",IF(N(Horas!F54)=0,"",Horas!M54/Horas!F54))</f>
        <v/>
      </c>
      <c r="G58" s="19">
        <f>IF($A58="","",IF(N(Horas!G54)=0,"",Horas!N54/Horas!G54))</f>
        <v/>
      </c>
      <c r="H58" s="19">
        <f>IF($A58="","",IF(N(Horas!H54)=0,"",Horas!O54/Horas!H54))</f>
        <v/>
      </c>
      <c r="I58" s="10">
        <f>IF($A58="","",IF(SUM(Horas!C54:H54)=0,"",SUM(Horas!J54:O54)/SUM(Horas!C54:H54)))</f>
        <v/>
      </c>
      <c r="J58" s="3" t="n"/>
      <c r="K58" s="3" t="n"/>
      <c r="L58" s="3" t="n"/>
    </row>
    <row r="59">
      <c r="A59" s="17">
        <f>Horas!A55</f>
        <v/>
      </c>
      <c r="B59" s="18">
        <f>Horas!B55</f>
        <v/>
      </c>
      <c r="C59" s="19">
        <f>IF($A59="","",IF(N(Horas!C55)=0,"",Horas!J55/Horas!C55))</f>
        <v/>
      </c>
      <c r="D59" s="19">
        <f>IF($A59="","",IF(N(Horas!D55)=0,"",Horas!K55/Horas!D55))</f>
        <v/>
      </c>
      <c r="E59" s="19">
        <f>IF($A59="","",IF(N(Horas!E55)=0,"",Horas!L55/Horas!E55))</f>
        <v/>
      </c>
      <c r="F59" s="19">
        <f>IF($A59="","",IF(N(Horas!F55)=0,"",Horas!M55/Horas!F55))</f>
        <v/>
      </c>
      <c r="G59" s="19">
        <f>IF($A59="","",IF(N(Horas!G55)=0,"",Horas!N55/Horas!G55))</f>
        <v/>
      </c>
      <c r="H59" s="19">
        <f>IF($A59="","",IF(N(Horas!H55)=0,"",Horas!O55/Horas!H55))</f>
        <v/>
      </c>
      <c r="I59" s="10">
        <f>IF($A59="","",IF(SUM(Horas!C55:H55)=0,"",SUM(Horas!J55:O55)/SUM(Horas!C55:H55)))</f>
        <v/>
      </c>
      <c r="J59" s="3" t="n"/>
      <c r="K59" s="3" t="n"/>
      <c r="L59" s="3" t="n"/>
    </row>
    <row r="60">
      <c r="A60" s="17">
        <f>Horas!A56</f>
        <v/>
      </c>
      <c r="B60" s="18">
        <f>Horas!B56</f>
        <v/>
      </c>
      <c r="C60" s="19">
        <f>IF($A60="","",IF(N(Horas!C56)=0,"",Horas!J56/Horas!C56))</f>
        <v/>
      </c>
      <c r="D60" s="19">
        <f>IF($A60="","",IF(N(Horas!D56)=0,"",Horas!K56/Horas!D56))</f>
        <v/>
      </c>
      <c r="E60" s="19">
        <f>IF($A60="","",IF(N(Horas!E56)=0,"",Horas!L56/Horas!E56))</f>
        <v/>
      </c>
      <c r="F60" s="19">
        <f>IF($A60="","",IF(N(Horas!F56)=0,"",Horas!M56/Horas!F56))</f>
        <v/>
      </c>
      <c r="G60" s="19">
        <f>IF($A60="","",IF(N(Horas!G56)=0,"",Horas!N56/Horas!G56))</f>
        <v/>
      </c>
      <c r="H60" s="19">
        <f>IF($A60="","",IF(N(Horas!H56)=0,"",Horas!O56/Horas!H56))</f>
        <v/>
      </c>
      <c r="I60" s="10">
        <f>IF($A60="","",IF(SUM(Horas!C56:H56)=0,"",SUM(Horas!J56:O56)/SUM(Horas!C56:H56)))</f>
        <v/>
      </c>
      <c r="J60" s="3" t="n"/>
      <c r="K60" s="3" t="n"/>
      <c r="L60" s="3" t="n"/>
    </row>
    <row r="61">
      <c r="A61" s="17">
        <f>Horas!A57</f>
        <v/>
      </c>
      <c r="B61" s="18">
        <f>Horas!B57</f>
        <v/>
      </c>
      <c r="C61" s="19">
        <f>IF($A61="","",IF(N(Horas!C57)=0,"",Horas!J57/Horas!C57))</f>
        <v/>
      </c>
      <c r="D61" s="19">
        <f>IF($A61="","",IF(N(Horas!D57)=0,"",Horas!K57/Horas!D57))</f>
        <v/>
      </c>
      <c r="E61" s="19">
        <f>IF($A61="","",IF(N(Horas!E57)=0,"",Horas!L57/Horas!E57))</f>
        <v/>
      </c>
      <c r="F61" s="19">
        <f>IF($A61="","",IF(N(Horas!F57)=0,"",Horas!M57/Horas!F57))</f>
        <v/>
      </c>
      <c r="G61" s="19">
        <f>IF($A61="","",IF(N(Horas!G57)=0,"",Horas!N57/Horas!G57))</f>
        <v/>
      </c>
      <c r="H61" s="19">
        <f>IF($A61="","",IF(N(Horas!H57)=0,"",Horas!O57/Horas!H57))</f>
        <v/>
      </c>
      <c r="I61" s="10">
        <f>IF($A61="","",IF(SUM(Horas!C57:H57)=0,"",SUM(Horas!J57:O57)/SUM(Horas!C57:H57)))</f>
        <v/>
      </c>
      <c r="J61" s="3" t="n"/>
      <c r="K61" s="3" t="n"/>
      <c r="L61" s="3" t="n"/>
    </row>
    <row r="62">
      <c r="A62" s="17">
        <f>Horas!A58</f>
        <v/>
      </c>
      <c r="B62" s="18">
        <f>Horas!B58</f>
        <v/>
      </c>
      <c r="C62" s="19">
        <f>IF($A62="","",IF(N(Horas!C58)=0,"",Horas!J58/Horas!C58))</f>
        <v/>
      </c>
      <c r="D62" s="19">
        <f>IF($A62="","",IF(N(Horas!D58)=0,"",Horas!K58/Horas!D58))</f>
        <v/>
      </c>
      <c r="E62" s="19">
        <f>IF($A62="","",IF(N(Horas!E58)=0,"",Horas!L58/Horas!E58))</f>
        <v/>
      </c>
      <c r="F62" s="19">
        <f>IF($A62="","",IF(N(Horas!F58)=0,"",Horas!M58/Horas!F58))</f>
        <v/>
      </c>
      <c r="G62" s="19">
        <f>IF($A62="","",IF(N(Horas!G58)=0,"",Horas!N58/Horas!G58))</f>
        <v/>
      </c>
      <c r="H62" s="19">
        <f>IF($A62="","",IF(N(Horas!H58)=0,"",Horas!O58/Horas!H58))</f>
        <v/>
      </c>
      <c r="I62" s="10">
        <f>IF($A62="","",IF(SUM(Horas!C58:H58)=0,"",SUM(Horas!J58:O58)/SUM(Horas!C58:H58)))</f>
        <v/>
      </c>
      <c r="J62" s="3" t="n"/>
      <c r="K62" s="3" t="n"/>
      <c r="L62" s="3" t="n"/>
    </row>
    <row r="63">
      <c r="A63" s="17">
        <f>Horas!A59</f>
        <v/>
      </c>
      <c r="B63" s="18">
        <f>Horas!B59</f>
        <v/>
      </c>
      <c r="C63" s="19">
        <f>IF($A63="","",IF(N(Horas!C59)=0,"",Horas!J59/Horas!C59))</f>
        <v/>
      </c>
      <c r="D63" s="19">
        <f>IF($A63="","",IF(N(Horas!D59)=0,"",Horas!K59/Horas!D59))</f>
        <v/>
      </c>
      <c r="E63" s="19">
        <f>IF($A63="","",IF(N(Horas!E59)=0,"",Horas!L59/Horas!E59))</f>
        <v/>
      </c>
      <c r="F63" s="19">
        <f>IF($A63="","",IF(N(Horas!F59)=0,"",Horas!M59/Horas!F59))</f>
        <v/>
      </c>
      <c r="G63" s="19">
        <f>IF($A63="","",IF(N(Horas!G59)=0,"",Horas!N59/Horas!G59))</f>
        <v/>
      </c>
      <c r="H63" s="19">
        <f>IF($A63="","",IF(N(Horas!H59)=0,"",Horas!O59/Horas!H59))</f>
        <v/>
      </c>
      <c r="I63" s="10">
        <f>IF($A63="","",IF(SUM(Horas!C59:H59)=0,"",SUM(Horas!J59:O59)/SUM(Horas!C59:H59)))</f>
        <v/>
      </c>
      <c r="J63" s="3" t="n"/>
      <c r="K63" s="3" t="n"/>
      <c r="L63" s="3" t="n"/>
    </row>
    <row r="64">
      <c r="A64" s="17">
        <f>Horas!A60</f>
        <v/>
      </c>
      <c r="B64" s="18">
        <f>Horas!B60</f>
        <v/>
      </c>
      <c r="C64" s="19">
        <f>IF($A64="","",IF(N(Horas!C60)=0,"",Horas!J60/Horas!C60))</f>
        <v/>
      </c>
      <c r="D64" s="19">
        <f>IF($A64="","",IF(N(Horas!D60)=0,"",Horas!K60/Horas!D60))</f>
        <v/>
      </c>
      <c r="E64" s="19">
        <f>IF($A64="","",IF(N(Horas!E60)=0,"",Horas!L60/Horas!E60))</f>
        <v/>
      </c>
      <c r="F64" s="19">
        <f>IF($A64="","",IF(N(Horas!F60)=0,"",Horas!M60/Horas!F60))</f>
        <v/>
      </c>
      <c r="G64" s="19">
        <f>IF($A64="","",IF(N(Horas!G60)=0,"",Horas!N60/Horas!G60))</f>
        <v/>
      </c>
      <c r="H64" s="19">
        <f>IF($A64="","",IF(N(Horas!H60)=0,"",Horas!O60/Horas!H60))</f>
        <v/>
      </c>
      <c r="I64" s="10">
        <f>IF($A64="","",IF(SUM(Horas!C60:H60)=0,"",SUM(Horas!J60:O60)/SUM(Horas!C60:H60)))</f>
        <v/>
      </c>
      <c r="J64" s="3" t="n"/>
      <c r="K64" s="3" t="n"/>
      <c r="L64" s="3" t="n"/>
    </row>
    <row r="65">
      <c r="A65" s="17">
        <f>Horas!A61</f>
        <v/>
      </c>
      <c r="B65" s="18">
        <f>Horas!B61</f>
        <v/>
      </c>
      <c r="C65" s="19">
        <f>IF($A65="","",IF(N(Horas!C61)=0,"",Horas!J61/Horas!C61))</f>
        <v/>
      </c>
      <c r="D65" s="19">
        <f>IF($A65="","",IF(N(Horas!D61)=0,"",Horas!K61/Horas!D61))</f>
        <v/>
      </c>
      <c r="E65" s="19">
        <f>IF($A65="","",IF(N(Horas!E61)=0,"",Horas!L61/Horas!E61))</f>
        <v/>
      </c>
      <c r="F65" s="19">
        <f>IF($A65="","",IF(N(Horas!F61)=0,"",Horas!M61/Horas!F61))</f>
        <v/>
      </c>
      <c r="G65" s="19">
        <f>IF($A65="","",IF(N(Horas!G61)=0,"",Horas!N61/Horas!G61))</f>
        <v/>
      </c>
      <c r="H65" s="19">
        <f>IF($A65="","",IF(N(Horas!H61)=0,"",Horas!O61/Horas!H61))</f>
        <v/>
      </c>
      <c r="I65" s="10">
        <f>IF($A65="","",IF(SUM(Horas!C61:H61)=0,"",SUM(Horas!J61:O61)/SUM(Horas!C61:H61)))</f>
        <v/>
      </c>
      <c r="J65" s="3" t="n"/>
      <c r="K65" s="3" t="n"/>
      <c r="L65" s="3" t="n"/>
    </row>
    <row r="66">
      <c r="A66" s="17">
        <f>Horas!A62</f>
        <v/>
      </c>
      <c r="B66" s="18">
        <f>Horas!B62</f>
        <v/>
      </c>
      <c r="C66" s="19">
        <f>IF($A66="","",IF(N(Horas!C62)=0,"",Horas!J62/Horas!C62))</f>
        <v/>
      </c>
      <c r="D66" s="19">
        <f>IF($A66="","",IF(N(Horas!D62)=0,"",Horas!K62/Horas!D62))</f>
        <v/>
      </c>
      <c r="E66" s="19">
        <f>IF($A66="","",IF(N(Horas!E62)=0,"",Horas!L62/Horas!E62))</f>
        <v/>
      </c>
      <c r="F66" s="19">
        <f>IF($A66="","",IF(N(Horas!F62)=0,"",Horas!M62/Horas!F62))</f>
        <v/>
      </c>
      <c r="G66" s="19">
        <f>IF($A66="","",IF(N(Horas!G62)=0,"",Horas!N62/Horas!G62))</f>
        <v/>
      </c>
      <c r="H66" s="19">
        <f>IF($A66="","",IF(N(Horas!H62)=0,"",Horas!O62/Horas!H62))</f>
        <v/>
      </c>
      <c r="I66" s="10">
        <f>IF($A66="","",IF(SUM(Horas!C62:H62)=0,"",SUM(Horas!J62:O62)/SUM(Horas!C62:H62)))</f>
        <v/>
      </c>
      <c r="J66" s="3" t="n"/>
      <c r="K66" s="3" t="n"/>
      <c r="L66" s="3" t="n"/>
    </row>
    <row r="67">
      <c r="A67" s="17">
        <f>Horas!A63</f>
        <v/>
      </c>
      <c r="B67" s="18">
        <f>Horas!B63</f>
        <v/>
      </c>
      <c r="C67" s="19">
        <f>IF($A67="","",IF(N(Horas!C63)=0,"",Horas!J63/Horas!C63))</f>
        <v/>
      </c>
      <c r="D67" s="19">
        <f>IF($A67="","",IF(N(Horas!D63)=0,"",Horas!K63/Horas!D63))</f>
        <v/>
      </c>
      <c r="E67" s="19">
        <f>IF($A67="","",IF(N(Horas!E63)=0,"",Horas!L63/Horas!E63))</f>
        <v/>
      </c>
      <c r="F67" s="19">
        <f>IF($A67="","",IF(N(Horas!F63)=0,"",Horas!M63/Horas!F63))</f>
        <v/>
      </c>
      <c r="G67" s="19">
        <f>IF($A67="","",IF(N(Horas!G63)=0,"",Horas!N63/Horas!G63))</f>
        <v/>
      </c>
      <c r="H67" s="19">
        <f>IF($A67="","",IF(N(Horas!H63)=0,"",Horas!O63/Horas!H63))</f>
        <v/>
      </c>
      <c r="I67" s="10">
        <f>IF($A67="","",IF(SUM(Horas!C63:H63)=0,"",SUM(Horas!J63:O63)/SUM(Horas!C63:H63)))</f>
        <v/>
      </c>
      <c r="J67" s="3" t="n"/>
      <c r="K67" s="3" t="n"/>
      <c r="L67" s="3" t="n"/>
    </row>
    <row r="68">
      <c r="A68" s="17">
        <f>Horas!A64</f>
        <v/>
      </c>
      <c r="B68" s="18">
        <f>Horas!B64</f>
        <v/>
      </c>
      <c r="C68" s="19">
        <f>IF($A68="","",IF(N(Horas!C64)=0,"",Horas!J64/Horas!C64))</f>
        <v/>
      </c>
      <c r="D68" s="19">
        <f>IF($A68="","",IF(N(Horas!D64)=0,"",Horas!K64/Horas!D64))</f>
        <v/>
      </c>
      <c r="E68" s="19">
        <f>IF($A68="","",IF(N(Horas!E64)=0,"",Horas!L64/Horas!E64))</f>
        <v/>
      </c>
      <c r="F68" s="19">
        <f>IF($A68="","",IF(N(Horas!F64)=0,"",Horas!M64/Horas!F64))</f>
        <v/>
      </c>
      <c r="G68" s="19">
        <f>IF($A68="","",IF(N(Horas!G64)=0,"",Horas!N64/Horas!G64))</f>
        <v/>
      </c>
      <c r="H68" s="19">
        <f>IF($A68="","",IF(N(Horas!H64)=0,"",Horas!O64/Horas!H64))</f>
        <v/>
      </c>
      <c r="I68" s="10">
        <f>IF($A68="","",IF(SUM(Horas!C64:H64)=0,"",SUM(Horas!J64:O64)/SUM(Horas!C64:H64)))</f>
        <v/>
      </c>
      <c r="J68" s="3" t="n"/>
      <c r="K68" s="3" t="n"/>
      <c r="L68" s="3" t="n"/>
    </row>
    <row r="69">
      <c r="A69" s="17">
        <f>Horas!A65</f>
        <v/>
      </c>
      <c r="B69" s="18">
        <f>Horas!B65</f>
        <v/>
      </c>
      <c r="C69" s="19">
        <f>IF($A69="","",IF(N(Horas!C65)=0,"",Horas!J65/Horas!C65))</f>
        <v/>
      </c>
      <c r="D69" s="19">
        <f>IF($A69="","",IF(N(Horas!D65)=0,"",Horas!K65/Horas!D65))</f>
        <v/>
      </c>
      <c r="E69" s="19">
        <f>IF($A69="","",IF(N(Horas!E65)=0,"",Horas!L65/Horas!E65))</f>
        <v/>
      </c>
      <c r="F69" s="19">
        <f>IF($A69="","",IF(N(Horas!F65)=0,"",Horas!M65/Horas!F65))</f>
        <v/>
      </c>
      <c r="G69" s="19">
        <f>IF($A69="","",IF(N(Horas!G65)=0,"",Horas!N65/Horas!G65))</f>
        <v/>
      </c>
      <c r="H69" s="19">
        <f>IF($A69="","",IF(N(Horas!H65)=0,"",Horas!O65/Horas!H65))</f>
        <v/>
      </c>
      <c r="I69" s="10">
        <f>IF($A69="","",IF(SUM(Horas!C65:H65)=0,"",SUM(Horas!J65:O65)/SUM(Horas!C65:H65)))</f>
        <v/>
      </c>
      <c r="J69" s="3" t="n"/>
      <c r="K69" s="3" t="n"/>
      <c r="L69" s="3" t="n"/>
    </row>
  </sheetData>
  <conditionalFormatting sqref="C10:I69">
    <cfRule type="expression" priority="1" dxfId="0">
      <formula>AND(ISNUMBER(C10),C10&gt;Parametros!$B$8)</formula>
    </cfRule>
    <cfRule type="expression" priority="2" dxfId="1">
      <formula>AND(ISNUMBER(C10),C10&gt;=Parametros!$B$7)</formula>
    </cfRule>
    <cfRule type="expression" priority="3" dxfId="2">
      <formula>AND(ISNUMBER(C10),C10&lt;Parametros!$B$7)</formula>
    </cfRule>
  </conditionalFormatting>
  <conditionalFormatting sqref="C6:I6">
    <cfRule type="expression" priority="4" dxfId="3">
      <formula>AND(ISNUMBER(C6),C6&gt;Parametros!$B$8)</formula>
    </cfRule>
    <cfRule type="expression" priority="5" dxfId="1">
      <formula>AND(ISNUMBER(C6),C6&gt;=Parametros!$B$7)</formula>
    </cfRule>
    <cfRule type="expression" priority="6" dxfId="2">
      <formula>AND(ISNUMBER(C6),C6&lt;Parametros!$B$7)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70" customWidth="1" min="3" max="3"/>
  </cols>
  <sheetData>
    <row r="1">
      <c r="A1" s="1" t="inlineStr">
        <is>
          <t>Parámetros</t>
        </is>
      </c>
      <c r="B1" s="3" t="n"/>
      <c r="C1" s="3" t="n"/>
    </row>
    <row r="2">
      <c r="A2" s="2" t="inlineStr">
        <is>
          <t>Celdas amarillas editables</t>
        </is>
      </c>
      <c r="B2" s="3" t="n"/>
      <c r="C2" s="3" t="n"/>
    </row>
    <row r="3">
      <c r="A3" s="7" t="inlineStr">
        <is>
          <t>Parámetro</t>
        </is>
      </c>
      <c r="B3" s="7" t="inlineStr">
        <is>
          <t>Valor</t>
        </is>
      </c>
      <c r="C3" s="7" t="inlineStr">
        <is>
          <t>Nota</t>
        </is>
      </c>
    </row>
    <row r="4">
      <c r="A4" s="9" t="inlineStr">
        <is>
          <t>Mes inicial del informe</t>
        </is>
      </c>
      <c r="B4" s="20" t="n">
        <v>46296</v>
      </c>
      <c r="C4" s="2" t="inlineStr">
        <is>
          <t>Cualquier fecha del mes; se toma el día 1. El informe muestra 6 meses desde aquí.</t>
        </is>
      </c>
    </row>
    <row r="5">
      <c r="A5" s="9" t="inlineStr">
        <is>
          <t>Horas estándar por día</t>
        </is>
      </c>
      <c r="B5" s="21" t="n">
        <v>8</v>
      </c>
      <c r="C5" s="2" t="inlineStr">
        <is>
          <t>Valor sugerido para nuevos consultores (referencia).</t>
        </is>
      </c>
    </row>
    <row r="6">
      <c r="A6" s="9" t="inlineStr">
        <is>
          <t>Incluir asignaciones 'Probable'</t>
        </is>
      </c>
      <c r="B6" s="22" t="inlineStr">
        <is>
          <t>No</t>
        </is>
      </c>
      <c r="C6" s="2" t="inlineStr">
        <is>
          <t>Sí = suma también el pipeline; No = solo Confirmado.</t>
        </is>
      </c>
    </row>
    <row r="7">
      <c r="A7" s="9" t="inlineStr">
        <is>
          <t>Umbral subutilizado (&lt;)</t>
        </is>
      </c>
      <c r="B7" s="23" t="n">
        <v>0.7</v>
      </c>
      <c r="C7" s="2" t="inlineStr">
        <is>
          <t>Por debajo de este % el consultor se marca en ámbar.</t>
        </is>
      </c>
    </row>
    <row r="8">
      <c r="A8" s="9" t="inlineStr">
        <is>
          <t>Umbral sobreasignado (&gt;)</t>
        </is>
      </c>
      <c r="B8" s="23" t="n">
        <v>1</v>
      </c>
      <c r="C8" s="2" t="inlineStr">
        <is>
          <t>Por encima de este % el consultor se marca en rojo.</t>
        </is>
      </c>
    </row>
    <row r="9">
      <c r="A9" s="3" t="n"/>
      <c r="B9" s="3" t="n"/>
      <c r="C9" s="3" t="n"/>
    </row>
    <row r="10">
      <c r="A10" s="9" t="inlineStr">
        <is>
          <t>Cobertura de feriados</t>
        </is>
      </c>
      <c r="B10" s="9">
        <f>IF(EOMONTH(B4,5)&gt;MIN(MAX(FER_EC),MAX(FER_CO)),"Faltan feriados para el periodo: agrégalos en la hoja Feriados","OK – feriados cargados para todo el periodo")</f>
        <v/>
      </c>
      <c r="C10" s="3" t="n"/>
    </row>
    <row r="11">
      <c r="A11" s="3" t="n"/>
      <c r="B11" s="3" t="n"/>
      <c r="C11" s="3" t="n"/>
    </row>
    <row r="12">
      <c r="A12" s="24" t="inlineStr">
        <is>
          <t>¿Quieres ver otros 6 meses? Cambia B4 al nuevo mes inicial (ej. 01-abr-2027) y todo el informe se recorre solo.</t>
        </is>
      </c>
      <c r="B12" s="3" t="n"/>
      <c r="C12" s="3" t="n"/>
    </row>
  </sheetData>
  <dataValidations count="1">
    <dataValidation sqref="B6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3" customWidth="1" min="3" max="3"/>
    <col width="30" customWidth="1" min="4" max="4"/>
    <col width="30" customWidth="1" min="5" max="5"/>
  </cols>
  <sheetData>
    <row r="1">
      <c r="A1" s="1" t="inlineStr">
        <is>
          <t>Consultores</t>
        </is>
      </c>
      <c r="B1" s="3" t="n"/>
      <c r="C1" s="3" t="n"/>
      <c r="D1" s="3" t="n"/>
      <c r="E1" s="3" t="n"/>
    </row>
    <row r="2">
      <c r="A2" s="2" t="inlineStr">
        <is>
          <t>Un consultor por fila. País: EC o CO (define qué feriados aplican).</t>
        </is>
      </c>
      <c r="B2" s="3" t="n"/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7" t="inlineStr">
        <is>
          <t>Consultor</t>
        </is>
      </c>
      <c r="B5" s="7" t="inlineStr">
        <is>
          <t>País</t>
        </is>
      </c>
      <c r="C5" s="7" t="inlineStr">
        <is>
          <t>Horas diarias</t>
        </is>
      </c>
      <c r="D5" s="7" t="inlineStr">
        <is>
          <t>Rol / Perfil</t>
        </is>
      </c>
      <c r="E5" s="7" t="inlineStr">
        <is>
          <t>Notas</t>
        </is>
      </c>
    </row>
    <row r="6">
      <c r="A6" s="25" t="inlineStr">
        <is>
          <t>Consultor Ejemplo 1</t>
        </is>
      </c>
      <c r="B6" s="25" t="inlineStr">
        <is>
          <t>EC</t>
        </is>
      </c>
      <c r="C6" s="26" t="n">
        <v>8</v>
      </c>
      <c r="D6" s="25" t="inlineStr">
        <is>
          <t>Consultor SAS Sr</t>
        </is>
      </c>
      <c r="E6" s="25" t="inlineStr">
        <is>
          <t>Ejemplo</t>
        </is>
      </c>
    </row>
    <row r="7">
      <c r="A7" s="25" t="inlineStr">
        <is>
          <t>Consultor Ejemplo 2</t>
        </is>
      </c>
      <c r="B7" s="25" t="inlineStr">
        <is>
          <t>CO</t>
        </is>
      </c>
      <c r="C7" s="26" t="n">
        <v>8</v>
      </c>
      <c r="D7" s="25" t="inlineStr">
        <is>
          <t>Ingeniero de datos Fabric</t>
        </is>
      </c>
      <c r="E7" s="25" t="inlineStr">
        <is>
          <t>Ejemplo</t>
        </is>
      </c>
    </row>
    <row r="8">
      <c r="A8" s="25" t="inlineStr">
        <is>
          <t>Consultor Ejemplo 3</t>
        </is>
      </c>
      <c r="B8" s="25" t="inlineStr">
        <is>
          <t>EC</t>
        </is>
      </c>
      <c r="C8" s="26" t="n">
        <v>4</v>
      </c>
      <c r="D8" s="25" t="inlineStr">
        <is>
          <t>Analista gobierno de datos</t>
        </is>
      </c>
      <c r="E8" s="25" t="inlineStr">
        <is>
          <t>Ejemplo – medio tiempo</t>
        </is>
      </c>
    </row>
    <row r="9">
      <c r="A9" s="25" t="n"/>
      <c r="B9" s="25" t="n"/>
      <c r="C9" s="26" t="n"/>
      <c r="D9" s="25" t="n"/>
      <c r="E9" s="25" t="n"/>
    </row>
    <row r="10">
      <c r="A10" s="25" t="n"/>
      <c r="B10" s="25" t="n"/>
      <c r="C10" s="26" t="n"/>
      <c r="D10" s="25" t="n"/>
      <c r="E10" s="25" t="n"/>
    </row>
    <row r="11">
      <c r="A11" s="25" t="n"/>
      <c r="B11" s="25" t="n"/>
      <c r="C11" s="26" t="n"/>
      <c r="D11" s="25" t="n"/>
      <c r="E11" s="25" t="n"/>
    </row>
    <row r="12">
      <c r="A12" s="25" t="n"/>
      <c r="B12" s="25" t="n"/>
      <c r="C12" s="26" t="n"/>
      <c r="D12" s="25" t="n"/>
      <c r="E12" s="25" t="n"/>
    </row>
    <row r="13">
      <c r="A13" s="25" t="n"/>
      <c r="B13" s="25" t="n"/>
      <c r="C13" s="26" t="n"/>
      <c r="D13" s="25" t="n"/>
      <c r="E13" s="25" t="n"/>
    </row>
    <row r="14">
      <c r="A14" s="25" t="n"/>
      <c r="B14" s="25" t="n"/>
      <c r="C14" s="26" t="n"/>
      <c r="D14" s="25" t="n"/>
      <c r="E14" s="25" t="n"/>
    </row>
    <row r="15">
      <c r="A15" s="25" t="n"/>
      <c r="B15" s="25" t="n"/>
      <c r="C15" s="26" t="n"/>
      <c r="D15" s="25" t="n"/>
      <c r="E15" s="25" t="n"/>
    </row>
    <row r="16">
      <c r="A16" s="25" t="n"/>
      <c r="B16" s="25" t="n"/>
      <c r="C16" s="26" t="n"/>
      <c r="D16" s="25" t="n"/>
      <c r="E16" s="25" t="n"/>
    </row>
    <row r="17">
      <c r="A17" s="25" t="n"/>
      <c r="B17" s="25" t="n"/>
      <c r="C17" s="26" t="n"/>
      <c r="D17" s="25" t="n"/>
      <c r="E17" s="25" t="n"/>
    </row>
    <row r="18">
      <c r="A18" s="25" t="n"/>
      <c r="B18" s="25" t="n"/>
      <c r="C18" s="26" t="n"/>
      <c r="D18" s="25" t="n"/>
      <c r="E18" s="25" t="n"/>
    </row>
    <row r="19">
      <c r="A19" s="25" t="n"/>
      <c r="B19" s="25" t="n"/>
      <c r="C19" s="26" t="n"/>
      <c r="D19" s="25" t="n"/>
      <c r="E19" s="25" t="n"/>
    </row>
    <row r="20">
      <c r="A20" s="25" t="n"/>
      <c r="B20" s="25" t="n"/>
      <c r="C20" s="26" t="n"/>
      <c r="D20" s="25" t="n"/>
      <c r="E20" s="25" t="n"/>
    </row>
    <row r="21">
      <c r="A21" s="25" t="n"/>
      <c r="B21" s="25" t="n"/>
      <c r="C21" s="26" t="n"/>
      <c r="D21" s="25" t="n"/>
      <c r="E21" s="25" t="n"/>
    </row>
    <row r="22">
      <c r="A22" s="25" t="n"/>
      <c r="B22" s="25" t="n"/>
      <c r="C22" s="26" t="n"/>
      <c r="D22" s="25" t="n"/>
      <c r="E22" s="25" t="n"/>
    </row>
    <row r="23">
      <c r="A23" s="25" t="n"/>
      <c r="B23" s="25" t="n"/>
      <c r="C23" s="26" t="n"/>
      <c r="D23" s="25" t="n"/>
      <c r="E23" s="25" t="n"/>
    </row>
    <row r="24">
      <c r="A24" s="25" t="n"/>
      <c r="B24" s="25" t="n"/>
      <c r="C24" s="26" t="n"/>
      <c r="D24" s="25" t="n"/>
      <c r="E24" s="25" t="n"/>
    </row>
    <row r="25">
      <c r="A25" s="25" t="n"/>
      <c r="B25" s="25" t="n"/>
      <c r="C25" s="26" t="n"/>
      <c r="D25" s="25" t="n"/>
      <c r="E25" s="25" t="n"/>
    </row>
    <row r="26">
      <c r="A26" s="25" t="n"/>
      <c r="B26" s="25" t="n"/>
      <c r="C26" s="26" t="n"/>
      <c r="D26" s="25" t="n"/>
      <c r="E26" s="25" t="n"/>
    </row>
    <row r="27">
      <c r="A27" s="25" t="n"/>
      <c r="B27" s="25" t="n"/>
      <c r="C27" s="26" t="n"/>
      <c r="D27" s="25" t="n"/>
      <c r="E27" s="25" t="n"/>
    </row>
    <row r="28">
      <c r="A28" s="25" t="n"/>
      <c r="B28" s="25" t="n"/>
      <c r="C28" s="26" t="n"/>
      <c r="D28" s="25" t="n"/>
      <c r="E28" s="25" t="n"/>
    </row>
    <row r="29">
      <c r="A29" s="25" t="n"/>
      <c r="B29" s="25" t="n"/>
      <c r="C29" s="26" t="n"/>
      <c r="D29" s="25" t="n"/>
      <c r="E29" s="25" t="n"/>
    </row>
    <row r="30">
      <c r="A30" s="25" t="n"/>
      <c r="B30" s="25" t="n"/>
      <c r="C30" s="26" t="n"/>
      <c r="D30" s="25" t="n"/>
      <c r="E30" s="25" t="n"/>
    </row>
    <row r="31">
      <c r="A31" s="25" t="n"/>
      <c r="B31" s="25" t="n"/>
      <c r="C31" s="26" t="n"/>
      <c r="D31" s="25" t="n"/>
      <c r="E31" s="25" t="n"/>
    </row>
    <row r="32">
      <c r="A32" s="25" t="n"/>
      <c r="B32" s="25" t="n"/>
      <c r="C32" s="26" t="n"/>
      <c r="D32" s="25" t="n"/>
      <c r="E32" s="25" t="n"/>
    </row>
    <row r="33">
      <c r="A33" s="25" t="n"/>
      <c r="B33" s="25" t="n"/>
      <c r="C33" s="26" t="n"/>
      <c r="D33" s="25" t="n"/>
      <c r="E33" s="25" t="n"/>
    </row>
    <row r="34">
      <c r="A34" s="25" t="n"/>
      <c r="B34" s="25" t="n"/>
      <c r="C34" s="26" t="n"/>
      <c r="D34" s="25" t="n"/>
      <c r="E34" s="25" t="n"/>
    </row>
    <row r="35">
      <c r="A35" s="25" t="n"/>
      <c r="B35" s="25" t="n"/>
      <c r="C35" s="26" t="n"/>
      <c r="D35" s="25" t="n"/>
      <c r="E35" s="25" t="n"/>
    </row>
    <row r="36">
      <c r="A36" s="25" t="n"/>
      <c r="B36" s="25" t="n"/>
      <c r="C36" s="26" t="n"/>
      <c r="D36" s="25" t="n"/>
      <c r="E36" s="25" t="n"/>
    </row>
    <row r="37">
      <c r="A37" s="25" t="n"/>
      <c r="B37" s="25" t="n"/>
      <c r="C37" s="26" t="n"/>
      <c r="D37" s="25" t="n"/>
      <c r="E37" s="25" t="n"/>
    </row>
    <row r="38">
      <c r="A38" s="25" t="n"/>
      <c r="B38" s="25" t="n"/>
      <c r="C38" s="26" t="n"/>
      <c r="D38" s="25" t="n"/>
      <c r="E38" s="25" t="n"/>
    </row>
    <row r="39">
      <c r="A39" s="25" t="n"/>
      <c r="B39" s="25" t="n"/>
      <c r="C39" s="26" t="n"/>
      <c r="D39" s="25" t="n"/>
      <c r="E39" s="25" t="n"/>
    </row>
    <row r="40">
      <c r="A40" s="25" t="n"/>
      <c r="B40" s="25" t="n"/>
      <c r="C40" s="26" t="n"/>
      <c r="D40" s="25" t="n"/>
      <c r="E40" s="25" t="n"/>
    </row>
    <row r="41">
      <c r="A41" s="25" t="n"/>
      <c r="B41" s="25" t="n"/>
      <c r="C41" s="26" t="n"/>
      <c r="D41" s="25" t="n"/>
      <c r="E41" s="25" t="n"/>
    </row>
    <row r="42">
      <c r="A42" s="25" t="n"/>
      <c r="B42" s="25" t="n"/>
      <c r="C42" s="26" t="n"/>
      <c r="D42" s="25" t="n"/>
      <c r="E42" s="25" t="n"/>
    </row>
    <row r="43">
      <c r="A43" s="25" t="n"/>
      <c r="B43" s="25" t="n"/>
      <c r="C43" s="26" t="n"/>
      <c r="D43" s="25" t="n"/>
      <c r="E43" s="25" t="n"/>
    </row>
    <row r="44">
      <c r="A44" s="25" t="n"/>
      <c r="B44" s="25" t="n"/>
      <c r="C44" s="26" t="n"/>
      <c r="D44" s="25" t="n"/>
      <c r="E44" s="25" t="n"/>
    </row>
    <row r="45">
      <c r="A45" s="25" t="n"/>
      <c r="B45" s="25" t="n"/>
      <c r="C45" s="26" t="n"/>
      <c r="D45" s="25" t="n"/>
      <c r="E45" s="25" t="n"/>
    </row>
    <row r="46">
      <c r="A46" s="25" t="n"/>
      <c r="B46" s="25" t="n"/>
      <c r="C46" s="26" t="n"/>
      <c r="D46" s="25" t="n"/>
      <c r="E46" s="25" t="n"/>
    </row>
    <row r="47">
      <c r="A47" s="25" t="n"/>
      <c r="B47" s="25" t="n"/>
      <c r="C47" s="26" t="n"/>
      <c r="D47" s="25" t="n"/>
      <c r="E47" s="25" t="n"/>
    </row>
    <row r="48">
      <c r="A48" s="25" t="n"/>
      <c r="B48" s="25" t="n"/>
      <c r="C48" s="26" t="n"/>
      <c r="D48" s="25" t="n"/>
      <c r="E48" s="25" t="n"/>
    </row>
    <row r="49">
      <c r="A49" s="25" t="n"/>
      <c r="B49" s="25" t="n"/>
      <c r="C49" s="26" t="n"/>
      <c r="D49" s="25" t="n"/>
      <c r="E49" s="25" t="n"/>
    </row>
    <row r="50">
      <c r="A50" s="25" t="n"/>
      <c r="B50" s="25" t="n"/>
      <c r="C50" s="26" t="n"/>
      <c r="D50" s="25" t="n"/>
      <c r="E50" s="25" t="n"/>
    </row>
    <row r="51">
      <c r="A51" s="25" t="n"/>
      <c r="B51" s="25" t="n"/>
      <c r="C51" s="26" t="n"/>
      <c r="D51" s="25" t="n"/>
      <c r="E51" s="25" t="n"/>
    </row>
    <row r="52">
      <c r="A52" s="25" t="n"/>
      <c r="B52" s="25" t="n"/>
      <c r="C52" s="26" t="n"/>
      <c r="D52" s="25" t="n"/>
      <c r="E52" s="25" t="n"/>
    </row>
    <row r="53">
      <c r="A53" s="25" t="n"/>
      <c r="B53" s="25" t="n"/>
      <c r="C53" s="26" t="n"/>
      <c r="D53" s="25" t="n"/>
      <c r="E53" s="25" t="n"/>
    </row>
    <row r="54">
      <c r="A54" s="25" t="n"/>
      <c r="B54" s="25" t="n"/>
      <c r="C54" s="26" t="n"/>
      <c r="D54" s="25" t="n"/>
      <c r="E54" s="25" t="n"/>
    </row>
    <row r="55">
      <c r="A55" s="25" t="n"/>
      <c r="B55" s="25" t="n"/>
      <c r="C55" s="26" t="n"/>
      <c r="D55" s="25" t="n"/>
      <c r="E55" s="25" t="n"/>
    </row>
    <row r="56">
      <c r="A56" s="25" t="n"/>
      <c r="B56" s="25" t="n"/>
      <c r="C56" s="26" t="n"/>
      <c r="D56" s="25" t="n"/>
      <c r="E56" s="25" t="n"/>
    </row>
    <row r="57">
      <c r="A57" s="25" t="n"/>
      <c r="B57" s="25" t="n"/>
      <c r="C57" s="26" t="n"/>
      <c r="D57" s="25" t="n"/>
      <c r="E57" s="25" t="n"/>
    </row>
    <row r="58">
      <c r="A58" s="25" t="n"/>
      <c r="B58" s="25" t="n"/>
      <c r="C58" s="26" t="n"/>
      <c r="D58" s="25" t="n"/>
      <c r="E58" s="25" t="n"/>
    </row>
    <row r="59">
      <c r="A59" s="25" t="n"/>
      <c r="B59" s="25" t="n"/>
      <c r="C59" s="26" t="n"/>
      <c r="D59" s="25" t="n"/>
      <c r="E59" s="25" t="n"/>
    </row>
    <row r="60">
      <c r="A60" s="25" t="n"/>
      <c r="B60" s="25" t="n"/>
      <c r="C60" s="26" t="n"/>
      <c r="D60" s="25" t="n"/>
      <c r="E60" s="25" t="n"/>
    </row>
    <row r="61">
      <c r="A61" s="25" t="n"/>
      <c r="B61" s="25" t="n"/>
      <c r="C61" s="26" t="n"/>
      <c r="D61" s="25" t="n"/>
      <c r="E61" s="25" t="n"/>
    </row>
    <row r="62">
      <c r="A62" s="25" t="n"/>
      <c r="B62" s="25" t="n"/>
      <c r="C62" s="26" t="n"/>
      <c r="D62" s="25" t="n"/>
      <c r="E62" s="25" t="n"/>
    </row>
    <row r="63">
      <c r="A63" s="25" t="n"/>
      <c r="B63" s="25" t="n"/>
      <c r="C63" s="26" t="n"/>
      <c r="D63" s="25" t="n"/>
      <c r="E63" s="25" t="n"/>
    </row>
    <row r="64">
      <c r="A64" s="25" t="n"/>
      <c r="B64" s="25" t="n"/>
      <c r="C64" s="26" t="n"/>
      <c r="D64" s="25" t="n"/>
      <c r="E64" s="25" t="n"/>
    </row>
    <row r="65">
      <c r="A65" s="25" t="n"/>
      <c r="B65" s="25" t="n"/>
      <c r="C65" s="26" t="n"/>
      <c r="D65" s="25" t="n"/>
      <c r="E65" s="25" t="n"/>
    </row>
  </sheetData>
  <dataValidations count="1">
    <dataValidation sqref="B6:B65" showDropDown="0" showInputMessage="0" showErrorMessage="0" allowBlank="1" type="list">
      <formula1>"EC,CO"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3" customWidth="1" min="3" max="3"/>
    <col width="18" customWidth="1" min="4" max="4"/>
    <col width="34" customWidth="1" min="5" max="5"/>
  </cols>
  <sheetData>
    <row r="1">
      <c r="A1" s="1" t="inlineStr">
        <is>
          <t>Feriados y días no laborables</t>
        </is>
      </c>
      <c r="B1" s="3" t="n"/>
      <c r="C1" s="3" t="n"/>
      <c r="D1" s="3" t="n"/>
      <c r="E1" s="3" t="n"/>
      <c r="F1" s="3" t="n"/>
      <c r="G1" s="3" t="n"/>
    </row>
    <row r="2">
      <c r="A2" s="2" t="inlineStr">
        <is>
          <t>Agrega aquí feriados nuevos. Las celdas vacías se ignoran.</t>
        </is>
      </c>
      <c r="B2" s="3" t="n"/>
      <c r="C2" s="3" t="n"/>
      <c r="D2" s="3" t="n"/>
      <c r="E2" s="3" t="n"/>
      <c r="F2" s="3" t="n"/>
      <c r="G2" s="3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27" t="inlineStr">
        <is>
          <t>ECUADOR</t>
        </is>
      </c>
      <c r="B4" s="3" t="n"/>
      <c r="C4" s="3" t="n"/>
      <c r="D4" s="27" t="inlineStr">
        <is>
          <t>COLOMBIA</t>
        </is>
      </c>
      <c r="E4" s="3" t="n"/>
      <c r="F4" s="3" t="n"/>
      <c r="G4" s="3" t="n"/>
    </row>
    <row r="5">
      <c r="A5" s="7" t="inlineStr">
        <is>
          <t>Fecha</t>
        </is>
      </c>
      <c r="B5" s="7" t="inlineStr">
        <is>
          <t>Descripción</t>
        </is>
      </c>
      <c r="C5" s="3" t="n"/>
      <c r="D5" s="7" t="inlineStr">
        <is>
          <t>Fecha</t>
        </is>
      </c>
      <c r="E5" s="7" t="inlineStr">
        <is>
          <t>Descripción</t>
        </is>
      </c>
      <c r="F5" s="3" t="n"/>
      <c r="G5" s="2" t="inlineStr">
        <is>
          <t>Fuente: calendarios oficiales publicados (Viceministerio de Turismo EC; Ley 51 de 1983 CO). Cargados hasta dic-2027. Verificar decretos posteriores.</t>
        </is>
      </c>
    </row>
    <row r="6">
      <c r="A6" s="28" t="n">
        <v>46304</v>
      </c>
      <c r="B6" s="25" t="inlineStr">
        <is>
          <t>Independencia de Guayaquil</t>
        </is>
      </c>
      <c r="C6" s="3" t="n"/>
      <c r="D6" s="28" t="n">
        <v>46307</v>
      </c>
      <c r="E6" s="25" t="inlineStr">
        <is>
          <t>Día de la Raza</t>
        </is>
      </c>
      <c r="F6" s="3" t="n"/>
      <c r="G6" s="3" t="n"/>
    </row>
    <row r="7">
      <c r="A7" s="28" t="n">
        <v>46328</v>
      </c>
      <c r="B7" s="25" t="inlineStr">
        <is>
          <t>Día de Difuntos</t>
        </is>
      </c>
      <c r="C7" s="3" t="n"/>
      <c r="D7" s="28" t="n">
        <v>46328</v>
      </c>
      <c r="E7" s="25" t="inlineStr">
        <is>
          <t>Todos los Santos</t>
        </is>
      </c>
      <c r="F7" s="3" t="n"/>
      <c r="G7" s="3" t="n"/>
    </row>
    <row r="8">
      <c r="A8" s="28" t="n">
        <v>46329</v>
      </c>
      <c r="B8" s="25" t="inlineStr">
        <is>
          <t>Independencia de Cuenca</t>
        </is>
      </c>
      <c r="C8" s="3" t="n"/>
      <c r="D8" s="28" t="n">
        <v>46342</v>
      </c>
      <c r="E8" s="25" t="inlineStr">
        <is>
          <t>Independencia de Cartagena</t>
        </is>
      </c>
      <c r="F8" s="3" t="n"/>
      <c r="G8" s="3" t="n"/>
    </row>
    <row r="9">
      <c r="A9" s="28" t="n">
        <v>46346</v>
      </c>
      <c r="B9" s="25" t="inlineStr">
        <is>
          <t>Suspensión jornada – Decreto Ejecutivo 507</t>
        </is>
      </c>
      <c r="C9" s="3" t="n"/>
      <c r="D9" s="28" t="n">
        <v>46364</v>
      </c>
      <c r="E9" s="25" t="inlineStr">
        <is>
          <t>Inmaculada Concepción</t>
        </is>
      </c>
      <c r="F9" s="3" t="n"/>
      <c r="G9" s="3" t="n"/>
    </row>
    <row r="10">
      <c r="A10" s="28" t="n">
        <v>46363</v>
      </c>
      <c r="B10" s="25" t="inlineStr">
        <is>
          <t>Fundación de Quito (local Quito, trasladado del 6)</t>
        </is>
      </c>
      <c r="C10" s="3" t="n"/>
      <c r="D10" s="28" t="n">
        <v>46381</v>
      </c>
      <c r="E10" s="25" t="inlineStr">
        <is>
          <t>Navidad</t>
        </is>
      </c>
      <c r="F10" s="3" t="n"/>
      <c r="G10" s="3" t="n"/>
    </row>
    <row r="11">
      <c r="A11" s="28" t="n">
        <v>46381</v>
      </c>
      <c r="B11" s="25" t="inlineStr">
        <is>
          <t>Navidad</t>
        </is>
      </c>
      <c r="C11" s="3" t="n"/>
      <c r="D11" s="28" t="n">
        <v>46388</v>
      </c>
      <c r="E11" s="25" t="inlineStr">
        <is>
          <t>Año Nuevo</t>
        </is>
      </c>
      <c r="F11" s="3" t="n"/>
      <c r="G11" s="3" t="n"/>
    </row>
    <row r="12">
      <c r="A12" s="28" t="n">
        <v>46388</v>
      </c>
      <c r="B12" s="25" t="inlineStr">
        <is>
          <t>Año Nuevo</t>
        </is>
      </c>
      <c r="C12" s="3" t="n"/>
      <c r="D12" s="28" t="n">
        <v>46398</v>
      </c>
      <c r="E12" s="25" t="inlineStr">
        <is>
          <t>Reyes Magos</t>
        </is>
      </c>
      <c r="F12" s="3" t="n"/>
      <c r="G12" s="3" t="n"/>
    </row>
    <row r="13">
      <c r="A13" s="28" t="n">
        <v>46426</v>
      </c>
      <c r="B13" s="25" t="inlineStr">
        <is>
          <t>Carnaval (lunes)</t>
        </is>
      </c>
      <c r="C13" s="3" t="n"/>
      <c r="D13" s="28" t="n">
        <v>46468</v>
      </c>
      <c r="E13" s="25" t="inlineStr">
        <is>
          <t>San José</t>
        </is>
      </c>
      <c r="F13" s="3" t="n"/>
      <c r="G13" s="3" t="n"/>
    </row>
    <row r="14">
      <c r="A14" s="28" t="n">
        <v>46427</v>
      </c>
      <c r="B14" s="25" t="inlineStr">
        <is>
          <t>Carnaval (martes)</t>
        </is>
      </c>
      <c r="C14" s="3" t="n"/>
      <c r="D14" s="28" t="n">
        <v>46471</v>
      </c>
      <c r="E14" s="25" t="inlineStr">
        <is>
          <t>Jueves Santo</t>
        </is>
      </c>
      <c r="F14" s="3" t="n"/>
      <c r="G14" s="3" t="n"/>
    </row>
    <row r="15">
      <c r="A15" s="28" t="n">
        <v>46472</v>
      </c>
      <c r="B15" s="25" t="inlineStr">
        <is>
          <t>Viernes Santo</t>
        </is>
      </c>
      <c r="C15" s="3" t="n"/>
      <c r="D15" s="28" t="n">
        <v>46472</v>
      </c>
      <c r="E15" s="25" t="inlineStr">
        <is>
          <t>Viernes Santo</t>
        </is>
      </c>
      <c r="F15" s="3" t="n"/>
      <c r="G15" s="3" t="n"/>
    </row>
    <row r="16">
      <c r="A16" s="28" t="n">
        <v>46507</v>
      </c>
      <c r="B16" s="25" t="inlineStr">
        <is>
          <t>Día del Trabajo (trasladado del sáb 1-may)</t>
        </is>
      </c>
      <c r="C16" s="3" t="n"/>
      <c r="D16" s="28" t="n">
        <v>46508</v>
      </c>
      <c r="E16" s="25" t="inlineStr">
        <is>
          <t>Día del Trabajo (sábado)</t>
        </is>
      </c>
      <c r="F16" s="3" t="n"/>
      <c r="G16" s="3" t="n"/>
    </row>
    <row r="17">
      <c r="A17" s="28" t="n">
        <v>46531</v>
      </c>
      <c r="B17" s="25" t="inlineStr">
        <is>
          <t>Batalla de Pichincha</t>
        </is>
      </c>
      <c r="C17" s="3" t="n"/>
      <c r="D17" s="28" t="n">
        <v>46517</v>
      </c>
      <c r="E17" s="25" t="inlineStr">
        <is>
          <t>Ascensión</t>
        </is>
      </c>
      <c r="F17" s="3" t="n"/>
      <c r="G17" s="3" t="n"/>
    </row>
    <row r="18">
      <c r="A18" s="28" t="n">
        <v>46608</v>
      </c>
      <c r="B18" s="25" t="inlineStr">
        <is>
          <t>Primer Grito de Independencia (trasladado del mar 10-ago)</t>
        </is>
      </c>
      <c r="C18" s="3" t="n"/>
      <c r="D18" s="28" t="n">
        <v>46538</v>
      </c>
      <c r="E18" s="25" t="inlineStr">
        <is>
          <t>Corpus Christi</t>
        </is>
      </c>
      <c r="F18" s="3" t="n"/>
      <c r="G18" s="3" t="n"/>
    </row>
    <row r="19">
      <c r="A19" s="28" t="n">
        <v>46668</v>
      </c>
      <c r="B19" s="25" t="inlineStr">
        <is>
          <t>Independencia de Guayaquil (trasladado del sáb 9-oct)</t>
        </is>
      </c>
      <c r="C19" s="3" t="n"/>
      <c r="D19" s="28" t="n">
        <v>46545</v>
      </c>
      <c r="E19" s="25" t="inlineStr">
        <is>
          <t>Sagrado Corazón</t>
        </is>
      </c>
      <c r="F19" s="3" t="n"/>
      <c r="G19" s="3" t="n"/>
    </row>
    <row r="20">
      <c r="A20" s="28" t="n">
        <v>46692</v>
      </c>
      <c r="B20" s="25" t="inlineStr">
        <is>
          <t>Día de Difuntos (trasladado del mar 2-nov)</t>
        </is>
      </c>
      <c r="C20" s="3" t="n"/>
      <c r="D20" s="28" t="n">
        <v>46573</v>
      </c>
      <c r="E20" s="25" t="inlineStr">
        <is>
          <t>San Pedro y San Pablo</t>
        </is>
      </c>
      <c r="F20" s="3" t="n"/>
      <c r="G20" s="3" t="n"/>
    </row>
    <row r="21">
      <c r="A21" s="28" t="n">
        <v>46696</v>
      </c>
      <c r="B21" s="25" t="inlineStr">
        <is>
          <t>Independencia de Cuenca (trasladado del mié 3-nov)</t>
        </is>
      </c>
      <c r="C21" s="3" t="n"/>
      <c r="D21" s="28" t="n">
        <v>46588</v>
      </c>
      <c r="E21" s="25" t="inlineStr">
        <is>
          <t>Independencia</t>
        </is>
      </c>
      <c r="F21" s="3" t="n"/>
      <c r="G21" s="3" t="n"/>
    </row>
    <row r="22">
      <c r="A22" s="28" t="n">
        <v>46727</v>
      </c>
      <c r="B22" s="25" t="inlineStr">
        <is>
          <t>Fundación de Quito (local Quito)</t>
        </is>
      </c>
      <c r="C22" s="3" t="n"/>
      <c r="D22" s="28" t="n">
        <v>46606</v>
      </c>
      <c r="E22" s="25" t="inlineStr">
        <is>
          <t>Batalla de Boyacá (sábado)</t>
        </is>
      </c>
      <c r="F22" s="3" t="n"/>
      <c r="G22" s="3" t="n"/>
    </row>
    <row r="23">
      <c r="A23" s="28" t="n">
        <v>46746</v>
      </c>
      <c r="B23" s="25" t="inlineStr">
        <is>
          <t>Navidad (cae sábado, no se traslada)</t>
        </is>
      </c>
      <c r="C23" s="3" t="n"/>
      <c r="D23" s="28" t="n">
        <v>46615</v>
      </c>
      <c r="E23" s="25" t="inlineStr">
        <is>
          <t>Asunción de la Virgen</t>
        </is>
      </c>
      <c r="F23" s="3" t="n"/>
      <c r="G23" s="3" t="n"/>
    </row>
    <row r="24">
      <c r="A24" s="28" t="n"/>
      <c r="B24" s="25" t="n"/>
      <c r="C24" s="3" t="n"/>
      <c r="D24" s="28" t="n">
        <v>46678</v>
      </c>
      <c r="E24" s="25" t="inlineStr">
        <is>
          <t>Día de la Raza</t>
        </is>
      </c>
      <c r="F24" s="3" t="n"/>
      <c r="G24" s="3" t="n"/>
    </row>
    <row r="25">
      <c r="A25" s="28" t="n"/>
      <c r="B25" s="25" t="n"/>
      <c r="C25" s="3" t="n"/>
      <c r="D25" s="28" t="n">
        <v>46692</v>
      </c>
      <c r="E25" s="25" t="inlineStr">
        <is>
          <t>Todos los Santos</t>
        </is>
      </c>
      <c r="F25" s="3" t="n"/>
      <c r="G25" s="3" t="n"/>
    </row>
    <row r="26">
      <c r="A26" s="28" t="n"/>
      <c r="B26" s="25" t="n"/>
      <c r="C26" s="3" t="n"/>
      <c r="D26" s="28" t="n">
        <v>46706</v>
      </c>
      <c r="E26" s="25" t="inlineStr">
        <is>
          <t>Independencia de Cartagena</t>
        </is>
      </c>
      <c r="F26" s="3" t="n"/>
      <c r="G26" s="3" t="n"/>
    </row>
    <row r="27">
      <c r="A27" s="28" t="n"/>
      <c r="B27" s="25" t="n"/>
      <c r="C27" s="3" t="n"/>
      <c r="D27" s="28" t="n">
        <v>46729</v>
      </c>
      <c r="E27" s="25" t="inlineStr">
        <is>
          <t>Inmaculada Concepción</t>
        </is>
      </c>
      <c r="F27" s="3" t="n"/>
      <c r="G27" s="3" t="n"/>
    </row>
    <row r="28">
      <c r="A28" s="28" t="n"/>
      <c r="B28" s="25" t="n"/>
      <c r="C28" s="3" t="n"/>
      <c r="D28" s="28" t="n">
        <v>46746</v>
      </c>
      <c r="E28" s="25" t="inlineStr">
        <is>
          <t>Navidad (sábado)</t>
        </is>
      </c>
      <c r="F28" s="3" t="n"/>
      <c r="G28" s="3" t="n"/>
    </row>
    <row r="29">
      <c r="A29" s="28" t="n"/>
      <c r="B29" s="25" t="n"/>
      <c r="C29" s="3" t="n"/>
      <c r="D29" s="28" t="n"/>
      <c r="E29" s="25" t="n"/>
      <c r="F29" s="3" t="n"/>
      <c r="G29" s="3" t="n"/>
    </row>
    <row r="30">
      <c r="A30" s="28" t="n"/>
      <c r="B30" s="25" t="n"/>
      <c r="C30" s="3" t="n"/>
      <c r="D30" s="28" t="n"/>
      <c r="E30" s="25" t="n"/>
      <c r="F30" s="3" t="n"/>
      <c r="G30" s="3" t="n"/>
    </row>
    <row r="31">
      <c r="A31" s="28" t="n"/>
      <c r="B31" s="25" t="n"/>
      <c r="C31" s="3" t="n"/>
      <c r="D31" s="28" t="n"/>
      <c r="E31" s="25" t="n"/>
      <c r="F31" s="3" t="n"/>
      <c r="G31" s="3" t="n"/>
    </row>
    <row r="32">
      <c r="A32" s="28" t="n"/>
      <c r="B32" s="25" t="n"/>
      <c r="C32" s="3" t="n"/>
      <c r="D32" s="28" t="n"/>
      <c r="E32" s="25" t="n"/>
      <c r="F32" s="3" t="n"/>
      <c r="G32" s="3" t="n"/>
    </row>
    <row r="33">
      <c r="A33" s="28" t="n"/>
      <c r="B33" s="25" t="n"/>
      <c r="C33" s="3" t="n"/>
      <c r="D33" s="28" t="n"/>
      <c r="E33" s="25" t="n"/>
      <c r="F33" s="3" t="n"/>
      <c r="G33" s="3" t="n"/>
    </row>
    <row r="34">
      <c r="A34" s="28" t="n"/>
      <c r="B34" s="25" t="n"/>
      <c r="C34" s="3" t="n"/>
      <c r="D34" s="28" t="n"/>
      <c r="E34" s="25" t="n"/>
      <c r="F34" s="3" t="n"/>
      <c r="G34" s="3" t="n"/>
    </row>
    <row r="35">
      <c r="A35" s="28" t="n"/>
      <c r="B35" s="25" t="n"/>
      <c r="C35" s="3" t="n"/>
      <c r="D35" s="28" t="n"/>
      <c r="E35" s="25" t="n"/>
      <c r="F35" s="3" t="n"/>
      <c r="G35" s="3" t="n"/>
    </row>
    <row r="36">
      <c r="A36" s="28" t="n"/>
      <c r="B36" s="25" t="n"/>
      <c r="C36" s="3" t="n"/>
      <c r="D36" s="28" t="n"/>
      <c r="E36" s="25" t="n"/>
      <c r="F36" s="3" t="n"/>
      <c r="G36" s="3" t="n"/>
    </row>
    <row r="37">
      <c r="A37" s="28" t="n"/>
      <c r="B37" s="25" t="n"/>
      <c r="C37" s="3" t="n"/>
      <c r="D37" s="28" t="n"/>
      <c r="E37" s="25" t="n"/>
      <c r="F37" s="3" t="n"/>
      <c r="G37" s="3" t="n"/>
    </row>
    <row r="38">
      <c r="A38" s="28" t="n"/>
      <c r="B38" s="25" t="n"/>
      <c r="C38" s="3" t="n"/>
      <c r="D38" s="28" t="n"/>
      <c r="E38" s="25" t="n"/>
      <c r="F38" s="3" t="n"/>
      <c r="G38" s="3" t="n"/>
    </row>
    <row r="39">
      <c r="A39" s="28" t="n"/>
      <c r="B39" s="25" t="n"/>
      <c r="C39" s="3" t="n"/>
      <c r="D39" s="28" t="n"/>
      <c r="E39" s="25" t="n"/>
      <c r="F39" s="3" t="n"/>
      <c r="G39" s="3" t="n"/>
    </row>
    <row r="40">
      <c r="A40" s="28" t="n"/>
      <c r="B40" s="25" t="n"/>
      <c r="C40" s="3" t="n"/>
      <c r="D40" s="28" t="n"/>
      <c r="E40" s="25" t="n"/>
      <c r="F40" s="3" t="n"/>
      <c r="G40" s="3" t="n"/>
    </row>
    <row r="41">
      <c r="A41" s="28" t="n"/>
      <c r="B41" s="25" t="n"/>
      <c r="C41" s="3" t="n"/>
      <c r="D41" s="28" t="n"/>
      <c r="E41" s="25" t="n"/>
      <c r="F41" s="3" t="n"/>
      <c r="G41" s="3" t="n"/>
    </row>
    <row r="42">
      <c r="A42" s="28" t="n"/>
      <c r="B42" s="25" t="n"/>
      <c r="C42" s="3" t="n"/>
      <c r="D42" s="28" t="n"/>
      <c r="E42" s="25" t="n"/>
      <c r="F42" s="3" t="n"/>
      <c r="G42" s="3" t="n"/>
    </row>
    <row r="43">
      <c r="A43" s="28" t="n"/>
      <c r="B43" s="25" t="n"/>
      <c r="C43" s="3" t="n"/>
      <c r="D43" s="28" t="n"/>
      <c r="E43" s="25" t="n"/>
      <c r="F43" s="3" t="n"/>
      <c r="G43" s="3" t="n"/>
    </row>
    <row r="44">
      <c r="A44" s="28" t="n"/>
      <c r="B44" s="25" t="n"/>
      <c r="C44" s="3" t="n"/>
      <c r="D44" s="28" t="n"/>
      <c r="E44" s="25" t="n"/>
      <c r="F44" s="3" t="n"/>
      <c r="G44" s="3" t="n"/>
    </row>
    <row r="45">
      <c r="A45" s="28" t="n"/>
      <c r="B45" s="25" t="n"/>
      <c r="C45" s="3" t="n"/>
      <c r="D45" s="28" t="n"/>
      <c r="E45" s="25" t="n"/>
      <c r="F45" s="3" t="n"/>
      <c r="G45" s="3" t="n"/>
    </row>
    <row r="46">
      <c r="A46" s="28" t="n"/>
      <c r="B46" s="25" t="n"/>
      <c r="C46" s="3" t="n"/>
      <c r="D46" s="28" t="n"/>
      <c r="E46" s="25" t="n"/>
      <c r="F46" s="3" t="n"/>
      <c r="G46" s="3" t="n"/>
    </row>
    <row r="47">
      <c r="A47" s="28" t="n"/>
      <c r="B47" s="25" t="n"/>
      <c r="C47" s="3" t="n"/>
      <c r="D47" s="28" t="n"/>
      <c r="E47" s="25" t="n"/>
      <c r="F47" s="3" t="n"/>
      <c r="G47" s="3" t="n"/>
    </row>
    <row r="48">
      <c r="A48" s="28" t="n"/>
      <c r="B48" s="25" t="n"/>
      <c r="C48" s="3" t="n"/>
      <c r="D48" s="28" t="n"/>
      <c r="E48" s="25" t="n"/>
      <c r="F48" s="3" t="n"/>
      <c r="G48" s="3" t="n"/>
    </row>
    <row r="49">
      <c r="A49" s="28" t="n"/>
      <c r="B49" s="25" t="n"/>
      <c r="C49" s="3" t="n"/>
      <c r="D49" s="28" t="n"/>
      <c r="E49" s="25" t="n"/>
      <c r="F49" s="3" t="n"/>
      <c r="G49" s="3" t="n"/>
    </row>
    <row r="50">
      <c r="A50" s="28" t="n"/>
      <c r="B50" s="25" t="n"/>
      <c r="C50" s="3" t="n"/>
      <c r="D50" s="28" t="n"/>
      <c r="E50" s="25" t="n"/>
      <c r="F50" s="3" t="n"/>
      <c r="G50" s="3" t="n"/>
    </row>
    <row r="51">
      <c r="A51" s="28" t="n"/>
      <c r="B51" s="25" t="n"/>
      <c r="C51" s="3" t="n"/>
      <c r="D51" s="28" t="n"/>
      <c r="E51" s="25" t="n"/>
      <c r="F51" s="3" t="n"/>
      <c r="G51" s="3" t="n"/>
    </row>
    <row r="52">
      <c r="A52" s="28" t="n"/>
      <c r="B52" s="25" t="n"/>
      <c r="C52" s="3" t="n"/>
      <c r="D52" s="28" t="n"/>
      <c r="E52" s="25" t="n"/>
      <c r="F52" s="3" t="n"/>
      <c r="G52" s="3" t="n"/>
    </row>
    <row r="53">
      <c r="A53" s="28" t="n"/>
      <c r="B53" s="25" t="n"/>
      <c r="C53" s="3" t="n"/>
      <c r="D53" s="28" t="n"/>
      <c r="E53" s="25" t="n"/>
      <c r="F53" s="3" t="n"/>
      <c r="G53" s="3" t="n"/>
    </row>
    <row r="54">
      <c r="A54" s="28" t="n"/>
      <c r="B54" s="25" t="n"/>
      <c r="C54" s="3" t="n"/>
      <c r="D54" s="28" t="n"/>
      <c r="E54" s="25" t="n"/>
      <c r="F54" s="3" t="n"/>
      <c r="G54" s="3" t="n"/>
    </row>
    <row r="55">
      <c r="A55" s="28" t="n"/>
      <c r="B55" s="25" t="n"/>
      <c r="C55" s="3" t="n"/>
      <c r="D55" s="28" t="n"/>
      <c r="E55" s="25" t="n"/>
      <c r="F55" s="3" t="n"/>
      <c r="G55" s="3" t="n"/>
    </row>
    <row r="56">
      <c r="A56" s="28" t="n"/>
      <c r="B56" s="25" t="n"/>
      <c r="C56" s="3" t="n"/>
      <c r="D56" s="28" t="n"/>
      <c r="E56" s="25" t="n"/>
      <c r="F56" s="3" t="n"/>
      <c r="G56" s="3" t="n"/>
    </row>
    <row r="57">
      <c r="A57" s="28" t="n"/>
      <c r="B57" s="25" t="n"/>
      <c r="C57" s="3" t="n"/>
      <c r="D57" s="28" t="n"/>
      <c r="E57" s="25" t="n"/>
      <c r="F57" s="3" t="n"/>
      <c r="G57" s="3" t="n"/>
    </row>
    <row r="58">
      <c r="A58" s="28" t="n"/>
      <c r="B58" s="25" t="n"/>
      <c r="C58" s="3" t="n"/>
      <c r="D58" s="28" t="n"/>
      <c r="E58" s="25" t="n"/>
      <c r="F58" s="3" t="n"/>
      <c r="G58" s="3" t="n"/>
    </row>
    <row r="59">
      <c r="A59" s="28" t="n"/>
      <c r="B59" s="25" t="n"/>
      <c r="C59" s="3" t="n"/>
      <c r="D59" s="28" t="n"/>
      <c r="E59" s="25" t="n"/>
      <c r="F59" s="3" t="n"/>
      <c r="G59" s="3" t="n"/>
    </row>
    <row r="60">
      <c r="A60" s="28" t="n"/>
      <c r="B60" s="25" t="n"/>
      <c r="C60" s="3" t="n"/>
      <c r="D60" s="28" t="n"/>
      <c r="E60" s="25" t="n"/>
      <c r="F60" s="3" t="n"/>
      <c r="G60" s="3" t="n"/>
    </row>
    <row r="61">
      <c r="A61" s="28" t="n"/>
      <c r="B61" s="25" t="n"/>
      <c r="C61" s="3" t="n"/>
      <c r="D61" s="28" t="n"/>
      <c r="E61" s="25" t="n"/>
      <c r="F61" s="3" t="n"/>
      <c r="G61" s="3" t="n"/>
    </row>
    <row r="62">
      <c r="A62" s="28" t="n"/>
      <c r="B62" s="25" t="n"/>
      <c r="C62" s="3" t="n"/>
      <c r="D62" s="28" t="n"/>
      <c r="E62" s="25" t="n"/>
      <c r="F62" s="3" t="n"/>
      <c r="G62" s="3" t="n"/>
    </row>
    <row r="63">
      <c r="A63" s="28" t="n"/>
      <c r="B63" s="25" t="n"/>
      <c r="C63" s="3" t="n"/>
      <c r="D63" s="28" t="n"/>
      <c r="E63" s="25" t="n"/>
      <c r="F63" s="3" t="n"/>
      <c r="G63" s="3" t="n"/>
    </row>
    <row r="64">
      <c r="A64" s="28" t="n"/>
      <c r="B64" s="25" t="n"/>
      <c r="C64" s="3" t="n"/>
      <c r="D64" s="28" t="n"/>
      <c r="E64" s="25" t="n"/>
      <c r="F64" s="3" t="n"/>
      <c r="G64" s="3" t="n"/>
    </row>
    <row r="65">
      <c r="A65" s="28" t="n"/>
      <c r="B65" s="25" t="n"/>
      <c r="C65" s="3" t="n"/>
      <c r="D65" s="28" t="n"/>
      <c r="E65" s="25" t="n"/>
      <c r="F65" s="3" t="n"/>
      <c r="G65" s="3" t="n"/>
    </row>
    <row r="66">
      <c r="A66" s="28" t="n"/>
      <c r="B66" s="25" t="n"/>
      <c r="C66" s="3" t="n"/>
      <c r="D66" s="28" t="n"/>
      <c r="E66" s="25" t="n"/>
      <c r="F66" s="3" t="n"/>
      <c r="G66" s="3" t="n"/>
    </row>
    <row r="67">
      <c r="A67" s="28" t="n"/>
      <c r="B67" s="25" t="n"/>
      <c r="C67" s="3" t="n"/>
      <c r="D67" s="28" t="n"/>
      <c r="E67" s="25" t="n"/>
      <c r="F67" s="3" t="n"/>
      <c r="G67" s="3" t="n"/>
    </row>
    <row r="68">
      <c r="A68" s="28" t="n"/>
      <c r="B68" s="25" t="n"/>
      <c r="C68" s="3" t="n"/>
      <c r="D68" s="28" t="n"/>
      <c r="E68" s="25" t="n"/>
      <c r="F68" s="3" t="n"/>
      <c r="G68" s="3" t="n"/>
    </row>
    <row r="69">
      <c r="A69" s="28" t="n"/>
      <c r="B69" s="25" t="n"/>
      <c r="C69" s="3" t="n"/>
      <c r="D69" s="28" t="n"/>
      <c r="E69" s="25" t="n"/>
      <c r="F69" s="3" t="n"/>
      <c r="G69" s="3" t="n"/>
    </row>
    <row r="70">
      <c r="A70" s="28" t="n"/>
      <c r="B70" s="25" t="n"/>
      <c r="C70" s="3" t="n"/>
      <c r="D70" s="28" t="n"/>
      <c r="E70" s="25" t="n"/>
      <c r="F70" s="3" t="n"/>
      <c r="G70" s="3" t="n"/>
    </row>
    <row r="71">
      <c r="A71" s="28" t="n"/>
      <c r="B71" s="25" t="n"/>
      <c r="C71" s="3" t="n"/>
      <c r="D71" s="28" t="n"/>
      <c r="E71" s="25" t="n"/>
      <c r="F71" s="3" t="n"/>
      <c r="G71" s="3" t="n"/>
    </row>
    <row r="72">
      <c r="A72" s="28" t="n"/>
      <c r="B72" s="25" t="n"/>
      <c r="C72" s="3" t="n"/>
      <c r="D72" s="28" t="n"/>
      <c r="E72" s="25" t="n"/>
      <c r="F72" s="3" t="n"/>
      <c r="G72" s="3" t="n"/>
    </row>
    <row r="73">
      <c r="A73" s="28" t="n"/>
      <c r="B73" s="25" t="n"/>
      <c r="C73" s="3" t="n"/>
      <c r="D73" s="28" t="n"/>
      <c r="E73" s="25" t="n"/>
      <c r="F73" s="3" t="n"/>
      <c r="G73" s="3" t="n"/>
    </row>
    <row r="74">
      <c r="A74" s="28" t="n"/>
      <c r="B74" s="25" t="n"/>
      <c r="C74" s="3" t="n"/>
      <c r="D74" s="28" t="n"/>
      <c r="E74" s="25" t="n"/>
      <c r="F74" s="3" t="n"/>
      <c r="G74" s="3" t="n"/>
    </row>
    <row r="75">
      <c r="A75" s="28" t="n"/>
      <c r="B75" s="25" t="n"/>
      <c r="C75" s="3" t="n"/>
      <c r="D75" s="28" t="n"/>
      <c r="E75" s="25" t="n"/>
      <c r="F75" s="3" t="n"/>
      <c r="G75" s="3" t="n"/>
    </row>
    <row r="76">
      <c r="A76" s="28" t="n"/>
      <c r="B76" s="25" t="n"/>
      <c r="C76" s="3" t="n"/>
      <c r="D76" s="28" t="n"/>
      <c r="E76" s="25" t="n"/>
      <c r="F76" s="3" t="n"/>
      <c r="G76" s="3" t="n"/>
    </row>
    <row r="77">
      <c r="A77" s="28" t="n"/>
      <c r="B77" s="25" t="n"/>
      <c r="C77" s="3" t="n"/>
      <c r="D77" s="28" t="n"/>
      <c r="E77" s="25" t="n"/>
      <c r="F77" s="3" t="n"/>
      <c r="G77" s="3" t="n"/>
    </row>
    <row r="78">
      <c r="A78" s="28" t="n"/>
      <c r="B78" s="25" t="n"/>
      <c r="C78" s="3" t="n"/>
      <c r="D78" s="28" t="n"/>
      <c r="E78" s="25" t="n"/>
      <c r="F78" s="3" t="n"/>
      <c r="G78" s="3" t="n"/>
    </row>
    <row r="79">
      <c r="A79" s="28" t="n"/>
      <c r="B79" s="25" t="n"/>
      <c r="C79" s="3" t="n"/>
      <c r="D79" s="28" t="n"/>
      <c r="E79" s="25" t="n"/>
      <c r="F79" s="3" t="n"/>
      <c r="G79" s="3" t="n"/>
    </row>
    <row r="80">
      <c r="A80" s="28" t="n"/>
      <c r="B80" s="25" t="n"/>
      <c r="C80" s="3" t="n"/>
      <c r="D80" s="28" t="n"/>
      <c r="E80" s="25" t="n"/>
      <c r="F80" s="3" t="n"/>
      <c r="G80" s="3" t="n"/>
    </row>
    <row r="81">
      <c r="A81" s="28" t="n"/>
      <c r="B81" s="25" t="n"/>
      <c r="C81" s="3" t="n"/>
      <c r="D81" s="28" t="n"/>
      <c r="E81" s="25" t="n"/>
      <c r="F81" s="3" t="n"/>
      <c r="G81" s="3" t="n"/>
    </row>
    <row r="82">
      <c r="A82" s="28" t="n"/>
      <c r="B82" s="25" t="n"/>
      <c r="C82" s="3" t="n"/>
      <c r="D82" s="28" t="n"/>
      <c r="E82" s="25" t="n"/>
      <c r="F82" s="3" t="n"/>
      <c r="G82" s="3" t="n"/>
    </row>
    <row r="83">
      <c r="A83" s="28" t="n"/>
      <c r="B83" s="25" t="n"/>
      <c r="C83" s="3" t="n"/>
      <c r="D83" s="28" t="n"/>
      <c r="E83" s="25" t="n"/>
      <c r="F83" s="3" t="n"/>
      <c r="G83" s="3" t="n"/>
    </row>
    <row r="84">
      <c r="A84" s="28" t="n"/>
      <c r="B84" s="25" t="n"/>
      <c r="C84" s="3" t="n"/>
      <c r="D84" s="28" t="n"/>
      <c r="E84" s="25" t="n"/>
      <c r="F84" s="3" t="n"/>
      <c r="G84" s="3" t="n"/>
    </row>
    <row r="85">
      <c r="A85" s="28" t="n"/>
      <c r="B85" s="25" t="n"/>
      <c r="C85" s="3" t="n"/>
      <c r="D85" s="28" t="n"/>
      <c r="E85" s="25" t="n"/>
      <c r="F85" s="3" t="n"/>
      <c r="G85" s="3" t="n"/>
    </row>
    <row r="86">
      <c r="A86" s="28" t="n"/>
      <c r="B86" s="25" t="n"/>
      <c r="C86" s="3" t="n"/>
      <c r="D86" s="28" t="n"/>
      <c r="E86" s="25" t="n"/>
      <c r="F86" s="3" t="n"/>
      <c r="G86" s="3" t="n"/>
    </row>
    <row r="87">
      <c r="A87" s="28" t="n"/>
      <c r="B87" s="25" t="n"/>
      <c r="C87" s="3" t="n"/>
      <c r="D87" s="28" t="n"/>
      <c r="E87" s="25" t="n"/>
      <c r="F87" s="3" t="n"/>
      <c r="G87" s="3" t="n"/>
    </row>
    <row r="88">
      <c r="A88" s="28" t="n"/>
      <c r="B88" s="25" t="n"/>
      <c r="C88" s="3" t="n"/>
      <c r="D88" s="28" t="n"/>
      <c r="E88" s="25" t="n"/>
      <c r="F88" s="3" t="n"/>
      <c r="G88" s="3" t="n"/>
    </row>
    <row r="89">
      <c r="A89" s="28" t="n"/>
      <c r="B89" s="25" t="n"/>
      <c r="C89" s="3" t="n"/>
      <c r="D89" s="28" t="n"/>
      <c r="E89" s="25" t="n"/>
      <c r="F89" s="3" t="n"/>
      <c r="G89" s="3" t="n"/>
    </row>
    <row r="90">
      <c r="A90" s="28" t="n"/>
      <c r="B90" s="25" t="n"/>
      <c r="C90" s="3" t="n"/>
      <c r="D90" s="28" t="n"/>
      <c r="E90" s="25" t="n"/>
      <c r="F90" s="3" t="n"/>
      <c r="G90" s="3" t="n"/>
    </row>
    <row r="91">
      <c r="A91" s="28" t="n"/>
      <c r="B91" s="25" t="n"/>
      <c r="C91" s="3" t="n"/>
      <c r="D91" s="28" t="n"/>
      <c r="E91" s="25" t="n"/>
      <c r="F91" s="3" t="n"/>
      <c r="G91" s="3" t="n"/>
    </row>
    <row r="92">
      <c r="A92" s="28" t="n"/>
      <c r="B92" s="25" t="n"/>
      <c r="C92" s="3" t="n"/>
      <c r="D92" s="28" t="n"/>
      <c r="E92" s="25" t="n"/>
      <c r="F92" s="3" t="n"/>
      <c r="G92" s="3" t="n"/>
    </row>
    <row r="93">
      <c r="A93" s="28" t="n"/>
      <c r="B93" s="25" t="n"/>
      <c r="C93" s="3" t="n"/>
      <c r="D93" s="28" t="n"/>
      <c r="E93" s="25" t="n"/>
      <c r="F93" s="3" t="n"/>
      <c r="G93" s="3" t="n"/>
    </row>
    <row r="94">
      <c r="A94" s="28" t="n"/>
      <c r="B94" s="25" t="n"/>
      <c r="C94" s="3" t="n"/>
      <c r="D94" s="28" t="n"/>
      <c r="E94" s="25" t="n"/>
      <c r="F94" s="3" t="n"/>
      <c r="G94" s="3" t="n"/>
    </row>
    <row r="95">
      <c r="A95" s="28" t="n"/>
      <c r="B95" s="25" t="n"/>
      <c r="C95" s="3" t="n"/>
      <c r="D95" s="28" t="n"/>
      <c r="E95" s="25" t="n"/>
      <c r="F95" s="3" t="n"/>
      <c r="G95" s="3" t="n"/>
    </row>
    <row r="96">
      <c r="A96" s="28" t="n"/>
      <c r="B96" s="25" t="n"/>
      <c r="C96" s="3" t="n"/>
      <c r="D96" s="28" t="n"/>
      <c r="E96" s="25" t="n"/>
      <c r="F96" s="3" t="n"/>
      <c r="G96" s="3" t="n"/>
    </row>
    <row r="97">
      <c r="A97" s="28" t="n"/>
      <c r="B97" s="25" t="n"/>
      <c r="C97" s="3" t="n"/>
      <c r="D97" s="28" t="n"/>
      <c r="E97" s="25" t="n"/>
      <c r="F97" s="3" t="n"/>
      <c r="G97" s="3" t="n"/>
    </row>
    <row r="98">
      <c r="A98" s="28" t="n"/>
      <c r="B98" s="25" t="n"/>
      <c r="C98" s="3" t="n"/>
      <c r="D98" s="28" t="n"/>
      <c r="E98" s="25" t="n"/>
      <c r="F98" s="3" t="n"/>
      <c r="G98" s="3" t="n"/>
    </row>
    <row r="99">
      <c r="A99" s="28" t="n"/>
      <c r="B99" s="25" t="n"/>
      <c r="C99" s="3" t="n"/>
      <c r="D99" s="28" t="n"/>
      <c r="E99" s="25" t="n"/>
      <c r="F99" s="3" t="n"/>
      <c r="G99" s="3" t="n"/>
    </row>
    <row r="100">
      <c r="A100" s="28" t="n"/>
      <c r="B100" s="25" t="n"/>
      <c r="C100" s="3" t="n"/>
      <c r="D100" s="28" t="n"/>
      <c r="E100" s="25" t="n"/>
      <c r="F100" s="3" t="n"/>
      <c r="G100" s="3" t="n"/>
    </row>
    <row r="101">
      <c r="A101" s="28" t="n"/>
      <c r="B101" s="25" t="n"/>
      <c r="C101" s="3" t="n"/>
      <c r="D101" s="28" t="n"/>
      <c r="E101" s="25" t="n"/>
      <c r="F101" s="3" t="n"/>
      <c r="G101" s="3" t="n"/>
    </row>
    <row r="102">
      <c r="A102" s="28" t="n"/>
      <c r="B102" s="25" t="n"/>
      <c r="C102" s="3" t="n"/>
      <c r="D102" s="28" t="n"/>
      <c r="E102" s="25" t="n"/>
      <c r="F102" s="3" t="n"/>
      <c r="G102" s="3" t="n"/>
    </row>
    <row r="103">
      <c r="A103" s="28" t="n"/>
      <c r="B103" s="25" t="n"/>
      <c r="C103" s="3" t="n"/>
      <c r="D103" s="28" t="n"/>
      <c r="E103" s="25" t="n"/>
      <c r="F103" s="3" t="n"/>
      <c r="G103" s="3" t="n"/>
    </row>
    <row r="104">
      <c r="A104" s="28" t="n"/>
      <c r="B104" s="25" t="n"/>
      <c r="C104" s="3" t="n"/>
      <c r="D104" s="28" t="n"/>
      <c r="E104" s="25" t="n"/>
      <c r="F104" s="3" t="n"/>
      <c r="G104" s="3" t="n"/>
    </row>
    <row r="105">
      <c r="A105" s="28" t="n"/>
      <c r="B105" s="25" t="n"/>
      <c r="C105" s="3" t="n"/>
      <c r="D105" s="28" t="n"/>
      <c r="E105" s="25" t="n"/>
      <c r="F105" s="3" t="n"/>
      <c r="G105" s="3" t="n"/>
    </row>
    <row r="106">
      <c r="A106" s="28" t="n"/>
      <c r="B106" s="25" t="n"/>
      <c r="C106" s="3" t="n"/>
      <c r="D106" s="28" t="n"/>
      <c r="E106" s="25" t="n"/>
      <c r="F106" s="3" t="n"/>
      <c r="G106" s="3" t="n"/>
    </row>
    <row r="107">
      <c r="A107" s="28" t="n"/>
      <c r="B107" s="25" t="n"/>
      <c r="C107" s="3" t="n"/>
      <c r="D107" s="28" t="n"/>
      <c r="E107" s="25" t="n"/>
      <c r="F107" s="3" t="n"/>
      <c r="G107" s="3" t="n"/>
    </row>
    <row r="108">
      <c r="A108" s="28" t="n"/>
      <c r="B108" s="25" t="n"/>
      <c r="C108" s="3" t="n"/>
      <c r="D108" s="28" t="n"/>
      <c r="E108" s="25" t="n"/>
      <c r="F108" s="3" t="n"/>
      <c r="G108" s="3" t="n"/>
    </row>
    <row r="109">
      <c r="A109" s="28" t="n"/>
      <c r="B109" s="25" t="n"/>
      <c r="C109" s="3" t="n"/>
      <c r="D109" s="28" t="n"/>
      <c r="E109" s="25" t="n"/>
      <c r="F109" s="3" t="n"/>
      <c r="G109" s="3" t="n"/>
    </row>
    <row r="110">
      <c r="A110" s="28" t="n"/>
      <c r="B110" s="25" t="n"/>
      <c r="C110" s="3" t="n"/>
      <c r="D110" s="28" t="n"/>
      <c r="E110" s="25" t="n"/>
      <c r="F110" s="3" t="n"/>
      <c r="G110" s="3" t="n"/>
    </row>
    <row r="111">
      <c r="A111" s="28" t="n"/>
      <c r="B111" s="25" t="n"/>
      <c r="C111" s="3" t="n"/>
      <c r="D111" s="28" t="n"/>
      <c r="E111" s="25" t="n"/>
      <c r="F111" s="3" t="n"/>
      <c r="G111" s="3" t="n"/>
    </row>
    <row r="112">
      <c r="A112" s="28" t="n"/>
      <c r="B112" s="25" t="n"/>
      <c r="C112" s="3" t="n"/>
      <c r="D112" s="28" t="n"/>
      <c r="E112" s="25" t="n"/>
      <c r="F112" s="3" t="n"/>
      <c r="G112" s="3" t="n"/>
    </row>
    <row r="113">
      <c r="A113" s="28" t="n"/>
      <c r="B113" s="25" t="n"/>
      <c r="C113" s="3" t="n"/>
      <c r="D113" s="28" t="n"/>
      <c r="E113" s="25" t="n"/>
      <c r="F113" s="3" t="n"/>
      <c r="G113" s="3" t="n"/>
    </row>
    <row r="114">
      <c r="A114" s="28" t="n"/>
      <c r="B114" s="25" t="n"/>
      <c r="C114" s="3" t="n"/>
      <c r="D114" s="28" t="n"/>
      <c r="E114" s="25" t="n"/>
      <c r="F114" s="3" t="n"/>
      <c r="G114" s="3" t="n"/>
    </row>
    <row r="115">
      <c r="A115" s="28" t="n"/>
      <c r="B115" s="25" t="n"/>
      <c r="C115" s="3" t="n"/>
      <c r="D115" s="28" t="n"/>
      <c r="E115" s="25" t="n"/>
      <c r="F115" s="3" t="n"/>
      <c r="G115" s="3" t="n"/>
    </row>
    <row r="116">
      <c r="A116" s="28" t="n"/>
      <c r="B116" s="25" t="n"/>
      <c r="C116" s="3" t="n"/>
      <c r="D116" s="28" t="n"/>
      <c r="E116" s="25" t="n"/>
      <c r="F116" s="3" t="n"/>
      <c r="G116" s="3" t="n"/>
    </row>
    <row r="117">
      <c r="A117" s="28" t="n"/>
      <c r="B117" s="25" t="n"/>
      <c r="C117" s="3" t="n"/>
      <c r="D117" s="28" t="n"/>
      <c r="E117" s="25" t="n"/>
      <c r="F117" s="3" t="n"/>
      <c r="G117" s="3" t="n"/>
    </row>
    <row r="118">
      <c r="A118" s="28" t="n"/>
      <c r="B118" s="25" t="n"/>
      <c r="C118" s="3" t="n"/>
      <c r="D118" s="28" t="n"/>
      <c r="E118" s="25" t="n"/>
      <c r="F118" s="3" t="n"/>
      <c r="G118" s="3" t="n"/>
    </row>
    <row r="119">
      <c r="A119" s="28" t="n"/>
      <c r="B119" s="25" t="n"/>
      <c r="C119" s="3" t="n"/>
      <c r="D119" s="28" t="n"/>
      <c r="E119" s="25" t="n"/>
      <c r="F119" s="3" t="n"/>
      <c r="G119" s="3" t="n"/>
    </row>
    <row r="120">
      <c r="A120" s="28" t="n"/>
      <c r="B120" s="25" t="n"/>
      <c r="C120" s="3" t="n"/>
      <c r="D120" s="28" t="n"/>
      <c r="E120" s="25" t="n"/>
      <c r="F120" s="3" t="n"/>
      <c r="G120" s="3" t="n"/>
    </row>
  </sheetData>
  <mergeCells count="2">
    <mergeCell ref="A4:B4"/>
    <mergeCell ref="D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Asignaciones consultor – proyecto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</row>
    <row r="2">
      <c r="A2" s="2" t="inlineStr">
        <is>
          <t>Llena A:G. Las columnas H en adelante se calculan (horas y % de cada asignación por mes).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2" t="inlineStr">
        <is>
          <t>Inicio de mes →</t>
        </is>
      </c>
      <c r="J3" s="29">
        <f>DATE(YEAR(Parametros!$B$4),MONTH(Parametros!$B$4)+0,1)</f>
        <v/>
      </c>
      <c r="K3" s="29">
        <f>DATE(YEAR(Parametros!$B$4),MONTH(Parametros!$B$4)+1,1)</f>
        <v/>
      </c>
      <c r="L3" s="29">
        <f>DATE(YEAR(Parametros!$B$4),MONTH(Parametros!$B$4)+2,1)</f>
        <v/>
      </c>
      <c r="M3" s="29">
        <f>DATE(YEAR(Parametros!$B$4),MONTH(Parametros!$B$4)+3,1)</f>
        <v/>
      </c>
      <c r="N3" s="29">
        <f>DATE(YEAR(Parametros!$B$4),MONTH(Parametros!$B$4)+4,1)</f>
        <v/>
      </c>
      <c r="O3" s="29">
        <f>DATE(YEAR(Parametros!$B$4),MONTH(Parametros!$B$4)+5,1)</f>
        <v/>
      </c>
      <c r="P3" s="29">
        <f>J3</f>
        <v/>
      </c>
      <c r="Q3" s="29">
        <f>K3</f>
        <v/>
      </c>
      <c r="R3" s="29">
        <f>L3</f>
        <v/>
      </c>
      <c r="S3" s="29">
        <f>M3</f>
        <v/>
      </c>
      <c r="T3" s="29">
        <f>N3</f>
        <v/>
      </c>
      <c r="U3" s="29">
        <f>O3</f>
        <v/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2" t="inlineStr">
        <is>
          <t>Fin de mes →</t>
        </is>
      </c>
      <c r="J4" s="29">
        <f>EOMONTH(J3,0)</f>
        <v/>
      </c>
      <c r="K4" s="29">
        <f>EOMONTH(K3,0)</f>
        <v/>
      </c>
      <c r="L4" s="29">
        <f>EOMONTH(L3,0)</f>
        <v/>
      </c>
      <c r="M4" s="29">
        <f>EOMONTH(M3,0)</f>
        <v/>
      </c>
      <c r="N4" s="29">
        <f>EOMONTH(N3,0)</f>
        <v/>
      </c>
      <c r="O4" s="29">
        <f>EOMONTH(O3,0)</f>
        <v/>
      </c>
      <c r="P4" s="29">
        <f>J4</f>
        <v/>
      </c>
      <c r="Q4" s="29">
        <f>K4</f>
        <v/>
      </c>
      <c r="R4" s="29">
        <f>L4</f>
        <v/>
      </c>
      <c r="S4" s="29">
        <f>M4</f>
        <v/>
      </c>
      <c r="T4" s="29">
        <f>N4</f>
        <v/>
      </c>
      <c r="U4" s="29">
        <f>O4</f>
        <v/>
      </c>
    </row>
    <row r="5" ht="30" customHeight="1">
      <c r="A5" s="7" t="inlineStr">
        <is>
          <t>Consultor</t>
        </is>
      </c>
      <c r="B5" s="7" t="inlineStr">
        <is>
          <t>Proyecto</t>
        </is>
      </c>
      <c r="C5" s="7" t="inlineStr">
        <is>
          <t>Cliente</t>
        </is>
      </c>
      <c r="D5" s="7" t="inlineStr">
        <is>
          <t>Fecha inicio</t>
        </is>
      </c>
      <c r="E5" s="7" t="inlineStr">
        <is>
          <t>Fecha fin</t>
        </is>
      </c>
      <c r="F5" s="7" t="inlineStr">
        <is>
          <t>Horas semanales</t>
        </is>
      </c>
      <c r="G5" s="7" t="inlineStr">
        <is>
          <t>Estado</t>
        </is>
      </c>
      <c r="H5" s="27" t="inlineStr">
        <is>
          <t>País</t>
        </is>
      </c>
      <c r="I5" s="27" t="inlineStr">
        <is>
          <t>Horas/día</t>
        </is>
      </c>
      <c r="J5" s="27">
        <f>"Horas "&amp;TEXT(J3,"mmm-yy")</f>
        <v/>
      </c>
      <c r="K5" s="27">
        <f>"Horas "&amp;TEXT(K3,"mmm-yy")</f>
        <v/>
      </c>
      <c r="L5" s="27">
        <f>"Horas "&amp;TEXT(L3,"mmm-yy")</f>
        <v/>
      </c>
      <c r="M5" s="27">
        <f>"Horas "&amp;TEXT(M3,"mmm-yy")</f>
        <v/>
      </c>
      <c r="N5" s="27">
        <f>"Horas "&amp;TEXT(N3,"mmm-yy")</f>
        <v/>
      </c>
      <c r="O5" s="27">
        <f>"Horas "&amp;TEXT(O3,"mmm-yy")</f>
        <v/>
      </c>
      <c r="P5" s="27">
        <f>"% "&amp;TEXT(J3,"mmm-yy")</f>
        <v/>
      </c>
      <c r="Q5" s="27">
        <f>"% "&amp;TEXT(K3,"mmm-yy")</f>
        <v/>
      </c>
      <c r="R5" s="27">
        <f>"% "&amp;TEXT(L3,"mmm-yy")</f>
        <v/>
      </c>
      <c r="S5" s="27">
        <f>"% "&amp;TEXT(M3,"mmm-yy")</f>
        <v/>
      </c>
      <c r="T5" s="27">
        <f>"% "&amp;TEXT(N3,"mmm-yy")</f>
        <v/>
      </c>
      <c r="U5" s="27">
        <f>"% "&amp;TEXT(O3,"mmm-yy")</f>
        <v/>
      </c>
    </row>
    <row r="6">
      <c r="A6" s="25" t="inlineStr">
        <is>
          <t>Consultor Ejemplo 1</t>
        </is>
      </c>
      <c r="B6" s="25" t="inlineStr">
        <is>
          <t>Migración reglas SAS FD</t>
        </is>
      </c>
      <c r="C6" s="25" t="inlineStr">
        <is>
          <t>Cliente A</t>
        </is>
      </c>
      <c r="D6" s="30" t="n">
        <v>46266</v>
      </c>
      <c r="E6" s="30" t="n">
        <v>46444</v>
      </c>
      <c r="F6" s="26" t="n">
        <v>32</v>
      </c>
      <c r="G6" s="25" t="inlineStr">
        <is>
          <t>Confirmado</t>
        </is>
      </c>
      <c r="H6" s="31">
        <f>IF($A6="","",IFERROR(INDEX(Consultores!$B$6:$B$65,MATCH($A6,Consultores!$A$6:$A$65,0)),"No existe"))</f>
        <v/>
      </c>
      <c r="I6" s="32">
        <f>IF($F6="",0,$F6/5)</f>
        <v/>
      </c>
      <c r="J6" s="33">
        <f>_xlfn.LET(_xlpm.inicio,MAX($D6,J$3),_xlpm.fin,MIN($E6,J$4),_xlpm.feriados,IF($H6="CO",FER_CO,FER_EC),_xlpm.dias,IF(_xlpm.inicio&gt;_xlpm.fin,0,NETWORKDAYS(_xlpm.inicio,_xlpm.fin,_xlpm.feriados)),_xlpm.factor,IF($G6="Probable",IF(Parametros!$B$6="Sí",1,0),1),IF(OR($A6="",$D6="",$E6=""),0,_xlpm.dias*$I6*_xlpm.factor))</f>
        <v/>
      </c>
      <c r="K6" s="33">
        <f>_xlfn.LET(_xlpm.inicio,MAX($D6,K$3),_xlpm.fin,MIN($E6,K$4),_xlpm.feriados,IF($H6="CO",FER_CO,FER_EC),_xlpm.dias,IF(_xlpm.inicio&gt;_xlpm.fin,0,NETWORKDAYS(_xlpm.inicio,_xlpm.fin,_xlpm.feriados)),_xlpm.factor,IF($G6="Probable",IF(Parametros!$B$6="Sí",1,0),1),IF(OR($A6="",$D6="",$E6=""),0,_xlpm.dias*$I6*_xlpm.factor))</f>
        <v/>
      </c>
      <c r="L6" s="33">
        <f>_xlfn.LET(_xlpm.inicio,MAX($D6,L$3),_xlpm.fin,MIN($E6,L$4),_xlpm.feriados,IF($H6="CO",FER_CO,FER_EC),_xlpm.dias,IF(_xlpm.inicio&gt;_xlpm.fin,0,NETWORKDAYS(_xlpm.inicio,_xlpm.fin,_xlpm.feriados)),_xlpm.factor,IF($G6="Probable",IF(Parametros!$B$6="Sí",1,0),1),IF(OR($A6="",$D6="",$E6=""),0,_xlpm.dias*$I6*_xlpm.factor))</f>
        <v/>
      </c>
      <c r="M6" s="33">
        <f>_xlfn.LET(_xlpm.inicio,MAX($D6,M$3),_xlpm.fin,MIN($E6,M$4),_xlpm.feriados,IF($H6="CO",FER_CO,FER_EC),_xlpm.dias,IF(_xlpm.inicio&gt;_xlpm.fin,0,NETWORKDAYS(_xlpm.inicio,_xlpm.fin,_xlpm.feriados)),_xlpm.factor,IF($G6="Probable",IF(Parametros!$B$6="Sí",1,0),1),IF(OR($A6="",$D6="",$E6=""),0,_xlpm.dias*$I6*_xlpm.factor))</f>
        <v/>
      </c>
      <c r="N6" s="33">
        <f>_xlfn.LET(_xlpm.inicio,MAX($D6,N$3),_xlpm.fin,MIN($E6,N$4),_xlpm.feriados,IF($H6="CO",FER_CO,FER_EC),_xlpm.dias,IF(_xlpm.inicio&gt;_xlpm.fin,0,NETWORKDAYS(_xlpm.inicio,_xlpm.fin,_xlpm.feriados)),_xlpm.factor,IF($G6="Probable",IF(Parametros!$B$6="Sí",1,0),1),IF(OR($A6="",$D6="",$E6=""),0,_xlpm.dias*$I6*_xlpm.factor))</f>
        <v/>
      </c>
      <c r="O6" s="33">
        <f>_xlfn.LET(_xlpm.inicio,MAX($D6,O$3),_xlpm.fin,MIN($E6,O$4),_xlpm.feriados,IF($H6="CO",FER_CO,FER_EC),_xlpm.dias,IF(_xlpm.inicio&gt;_xlpm.fin,0,NETWORKDAYS(_xlpm.inicio,_xlpm.fin,_xlpm.feriados)),_xlpm.factor,IF($G6="Probable",IF(Parametros!$B$6="Sí",1,0),1),IF(OR($A6="",$D6="",$E6=""),0,_xlpm.dias*$I6*_xlpm.factor))</f>
        <v/>
      </c>
      <c r="P6" s="34">
        <f>_xlfn.LET(_xlpm.horas,J6,_xlpm.feriados,IF($H6="CO",FER_CO,FER_EC),_xlpm.capacidad,NETWORKDAYS(J$3,J$4,_xlpm.feriados)*INDEX(Consultores!$C$6:$C$65,MATCH($A6,Consultores!$A$6:$A$65,0)),IF(_xlpm.horas=0,"",IFERROR(_xlpm.horas/_xlpm.capacidad,"")))</f>
        <v/>
      </c>
      <c r="Q6" s="34">
        <f>_xlfn.LET(_xlpm.horas,K6,_xlpm.feriados,IF($H6="CO",FER_CO,FER_EC),_xlpm.capacidad,NETWORKDAYS(K$3,K$4,_xlpm.feriados)*INDEX(Consultores!$C$6:$C$65,MATCH($A6,Consultores!$A$6:$A$65,0)),IF(_xlpm.horas=0,"",IFERROR(_xlpm.horas/_xlpm.capacidad,"")))</f>
        <v/>
      </c>
      <c r="R6" s="34">
        <f>_xlfn.LET(_xlpm.horas,L6,_xlpm.feriados,IF($H6="CO",FER_CO,FER_EC),_xlpm.capacidad,NETWORKDAYS(L$3,L$4,_xlpm.feriados)*INDEX(Consultores!$C$6:$C$65,MATCH($A6,Consultores!$A$6:$A$65,0)),IF(_xlpm.horas=0,"",IFERROR(_xlpm.horas/_xlpm.capacidad,"")))</f>
        <v/>
      </c>
      <c r="S6" s="34">
        <f>_xlfn.LET(_xlpm.horas,M6,_xlpm.feriados,IF($H6="CO",FER_CO,FER_EC),_xlpm.capacidad,NETWORKDAYS(M$3,M$4,_xlpm.feriados)*INDEX(Consultores!$C$6:$C$65,MATCH($A6,Consultores!$A$6:$A$65,0)),IF(_xlpm.horas=0,"",IFERROR(_xlpm.horas/_xlpm.capacidad,"")))</f>
        <v/>
      </c>
      <c r="T6" s="34">
        <f>_xlfn.LET(_xlpm.horas,N6,_xlpm.feriados,IF($H6="CO",FER_CO,FER_EC),_xlpm.capacidad,NETWORKDAYS(N$3,N$4,_xlpm.feriados)*INDEX(Consultores!$C$6:$C$65,MATCH($A6,Consultores!$A$6:$A$65,0)),IF(_xlpm.horas=0,"",IFERROR(_xlpm.horas/_xlpm.capacidad,"")))</f>
        <v/>
      </c>
      <c r="U6" s="34">
        <f>_xlfn.LET(_xlpm.horas,O6,_xlpm.feriados,IF($H6="CO",FER_CO,FER_EC),_xlpm.capacidad,NETWORKDAYS(O$3,O$4,_xlpm.feriados)*INDEX(Consultores!$C$6:$C$65,MATCH($A6,Consultores!$A$6:$A$65,0)),IF(_xlpm.horas=0,"",IFERROR(_xlpm.horas/_xlpm.capacidad,"")))</f>
        <v/>
      </c>
    </row>
    <row r="7">
      <c r="A7" s="25" t="inlineStr">
        <is>
          <t>Consultor Ejemplo 1</t>
        </is>
      </c>
      <c r="B7" s="25" t="inlineStr">
        <is>
          <t>Soporte Viya</t>
        </is>
      </c>
      <c r="C7" s="25" t="inlineStr">
        <is>
          <t>Cliente B</t>
        </is>
      </c>
      <c r="D7" s="30" t="n">
        <v>46296</v>
      </c>
      <c r="E7" s="30" t="n">
        <v>46374</v>
      </c>
      <c r="F7" s="26" t="n">
        <v>16</v>
      </c>
      <c r="G7" s="25" t="inlineStr">
        <is>
          <t>Confirmado</t>
        </is>
      </c>
      <c r="H7" s="31">
        <f>IF($A7="","",IFERROR(INDEX(Consultores!$B$6:$B$65,MATCH($A7,Consultores!$A$6:$A$65,0)),"No existe"))</f>
        <v/>
      </c>
      <c r="I7" s="32">
        <f>IF($F7="",0,$F7/5)</f>
        <v/>
      </c>
      <c r="J7" s="33">
        <f>_xlfn.LET(_xlpm.inicio,MAX($D7,J$3),_xlpm.fin,MIN($E7,J$4),_xlpm.feriados,IF($H7="CO",FER_CO,FER_EC),_xlpm.dias,IF(_xlpm.inicio&gt;_xlpm.fin,0,NETWORKDAYS(_xlpm.inicio,_xlpm.fin,_xlpm.feriados)),_xlpm.factor,IF($G7="Probable",IF(Parametros!$B$6="Sí",1,0),1),IF(OR($A7="",$D7="",$E7=""),0,_xlpm.dias*$I7*_xlpm.factor))</f>
        <v/>
      </c>
      <c r="K7" s="33">
        <f>_xlfn.LET(_xlpm.inicio,MAX($D7,K$3),_xlpm.fin,MIN($E7,K$4),_xlpm.feriados,IF($H7="CO",FER_CO,FER_EC),_xlpm.dias,IF(_xlpm.inicio&gt;_xlpm.fin,0,NETWORKDAYS(_xlpm.inicio,_xlpm.fin,_xlpm.feriados)),_xlpm.factor,IF($G7="Probable",IF(Parametros!$B$6="Sí",1,0),1),IF(OR($A7="",$D7="",$E7=""),0,_xlpm.dias*$I7*_xlpm.factor))</f>
        <v/>
      </c>
      <c r="L7" s="33">
        <f>_xlfn.LET(_xlpm.inicio,MAX($D7,L$3),_xlpm.fin,MIN($E7,L$4),_xlpm.feriados,IF($H7="CO",FER_CO,FER_EC),_xlpm.dias,IF(_xlpm.inicio&gt;_xlpm.fin,0,NETWORKDAYS(_xlpm.inicio,_xlpm.fin,_xlpm.feriados)),_xlpm.factor,IF($G7="Probable",IF(Parametros!$B$6="Sí",1,0),1),IF(OR($A7="",$D7="",$E7=""),0,_xlpm.dias*$I7*_xlpm.factor))</f>
        <v/>
      </c>
      <c r="M7" s="33">
        <f>_xlfn.LET(_xlpm.inicio,MAX($D7,M$3),_xlpm.fin,MIN($E7,M$4),_xlpm.feriados,IF($H7="CO",FER_CO,FER_EC),_xlpm.dias,IF(_xlpm.inicio&gt;_xlpm.fin,0,NETWORKDAYS(_xlpm.inicio,_xlpm.fin,_xlpm.feriados)),_xlpm.factor,IF($G7="Probable",IF(Parametros!$B$6="Sí",1,0),1),IF(OR($A7="",$D7="",$E7=""),0,_xlpm.dias*$I7*_xlpm.factor))</f>
        <v/>
      </c>
      <c r="N7" s="33">
        <f>_xlfn.LET(_xlpm.inicio,MAX($D7,N$3),_xlpm.fin,MIN($E7,N$4),_xlpm.feriados,IF($H7="CO",FER_CO,FER_EC),_xlpm.dias,IF(_xlpm.inicio&gt;_xlpm.fin,0,NETWORKDAYS(_xlpm.inicio,_xlpm.fin,_xlpm.feriados)),_xlpm.factor,IF($G7="Probable",IF(Parametros!$B$6="Sí",1,0),1),IF(OR($A7="",$D7="",$E7=""),0,_xlpm.dias*$I7*_xlpm.factor))</f>
        <v/>
      </c>
      <c r="O7" s="33">
        <f>_xlfn.LET(_xlpm.inicio,MAX($D7,O$3),_xlpm.fin,MIN($E7,O$4),_xlpm.feriados,IF($H7="CO",FER_CO,FER_EC),_xlpm.dias,IF(_xlpm.inicio&gt;_xlpm.fin,0,NETWORKDAYS(_xlpm.inicio,_xlpm.fin,_xlpm.feriados)),_xlpm.factor,IF($G7="Probable",IF(Parametros!$B$6="Sí",1,0),1),IF(OR($A7="",$D7="",$E7=""),0,_xlpm.dias*$I7*_xlpm.factor))</f>
        <v/>
      </c>
      <c r="P7" s="34">
        <f>_xlfn.LET(_xlpm.horas,J7,_xlpm.feriados,IF($H7="CO",FER_CO,FER_EC),_xlpm.capacidad,NETWORKDAYS(J$3,J$4,_xlpm.feriados)*INDEX(Consultores!$C$6:$C$65,MATCH($A7,Consultores!$A$6:$A$65,0)),IF(_xlpm.horas=0,"",IFERROR(_xlpm.horas/_xlpm.capacidad,"")))</f>
        <v/>
      </c>
      <c r="Q7" s="34">
        <f>_xlfn.LET(_xlpm.horas,K7,_xlpm.feriados,IF($H7="CO",FER_CO,FER_EC),_xlpm.capacidad,NETWORKDAYS(K$3,K$4,_xlpm.feriados)*INDEX(Consultores!$C$6:$C$65,MATCH($A7,Consultores!$A$6:$A$65,0)),IF(_xlpm.horas=0,"",IFERROR(_xlpm.horas/_xlpm.capacidad,"")))</f>
        <v/>
      </c>
      <c r="R7" s="34">
        <f>_xlfn.LET(_xlpm.horas,L7,_xlpm.feriados,IF($H7="CO",FER_CO,FER_EC),_xlpm.capacidad,NETWORKDAYS(L$3,L$4,_xlpm.feriados)*INDEX(Consultores!$C$6:$C$65,MATCH($A7,Consultores!$A$6:$A$65,0)),IF(_xlpm.horas=0,"",IFERROR(_xlpm.horas/_xlpm.capacidad,"")))</f>
        <v/>
      </c>
      <c r="S7" s="34">
        <f>_xlfn.LET(_xlpm.horas,M7,_xlpm.feriados,IF($H7="CO",FER_CO,FER_EC),_xlpm.capacidad,NETWORKDAYS(M$3,M$4,_xlpm.feriados)*INDEX(Consultores!$C$6:$C$65,MATCH($A7,Consultores!$A$6:$A$65,0)),IF(_xlpm.horas=0,"",IFERROR(_xlpm.horas/_xlpm.capacidad,"")))</f>
        <v/>
      </c>
      <c r="T7" s="34">
        <f>_xlfn.LET(_xlpm.horas,N7,_xlpm.feriados,IF($H7="CO",FER_CO,FER_EC),_xlpm.capacidad,NETWORKDAYS(N$3,N$4,_xlpm.feriados)*INDEX(Consultores!$C$6:$C$65,MATCH($A7,Consultores!$A$6:$A$65,0)),IF(_xlpm.horas=0,"",IFERROR(_xlpm.horas/_xlpm.capacidad,"")))</f>
        <v/>
      </c>
      <c r="U7" s="34">
        <f>_xlfn.LET(_xlpm.horas,O7,_xlpm.feriados,IF($H7="CO",FER_CO,FER_EC),_xlpm.capacidad,NETWORKDAYS(O$3,O$4,_xlpm.feriados)*INDEX(Consultores!$C$6:$C$65,MATCH($A7,Consultores!$A$6:$A$65,0)),IF(_xlpm.horas=0,"",IFERROR(_xlpm.horas/_xlpm.capacidad,"")))</f>
        <v/>
      </c>
    </row>
    <row r="8">
      <c r="A8" s="25" t="inlineStr">
        <is>
          <t>Consultor Ejemplo 2</t>
        </is>
      </c>
      <c r="B8" s="25" t="inlineStr">
        <is>
          <t>Migración a Fabric</t>
        </is>
      </c>
      <c r="C8" s="25" t="inlineStr">
        <is>
          <t>Cliente C</t>
        </is>
      </c>
      <c r="D8" s="30" t="n">
        <v>46310</v>
      </c>
      <c r="E8" s="30" t="n">
        <v>46477</v>
      </c>
      <c r="F8" s="26" t="n">
        <v>40</v>
      </c>
      <c r="G8" s="25" t="inlineStr">
        <is>
          <t>Confirmado</t>
        </is>
      </c>
      <c r="H8" s="31">
        <f>IF($A8="","",IFERROR(INDEX(Consultores!$B$6:$B$65,MATCH($A8,Consultores!$A$6:$A$65,0)),"No existe"))</f>
        <v/>
      </c>
      <c r="I8" s="32">
        <f>IF($F8="",0,$F8/5)</f>
        <v/>
      </c>
      <c r="J8" s="33">
        <f>_xlfn.LET(_xlpm.inicio,MAX($D8,J$3),_xlpm.fin,MIN($E8,J$4),_xlpm.feriados,IF($H8="CO",FER_CO,FER_EC),_xlpm.dias,IF(_xlpm.inicio&gt;_xlpm.fin,0,NETWORKDAYS(_xlpm.inicio,_xlpm.fin,_xlpm.feriados)),_xlpm.factor,IF($G8="Probable",IF(Parametros!$B$6="Sí",1,0),1),IF(OR($A8="",$D8="",$E8=""),0,_xlpm.dias*$I8*_xlpm.factor))</f>
        <v/>
      </c>
      <c r="K8" s="33">
        <f>_xlfn.LET(_xlpm.inicio,MAX($D8,K$3),_xlpm.fin,MIN($E8,K$4),_xlpm.feriados,IF($H8="CO",FER_CO,FER_EC),_xlpm.dias,IF(_xlpm.inicio&gt;_xlpm.fin,0,NETWORKDAYS(_xlpm.inicio,_xlpm.fin,_xlpm.feriados)),_xlpm.factor,IF($G8="Probable",IF(Parametros!$B$6="Sí",1,0),1),IF(OR($A8="",$D8="",$E8=""),0,_xlpm.dias*$I8*_xlpm.factor))</f>
        <v/>
      </c>
      <c r="L8" s="33">
        <f>_xlfn.LET(_xlpm.inicio,MAX($D8,L$3),_xlpm.fin,MIN($E8,L$4),_xlpm.feriados,IF($H8="CO",FER_CO,FER_EC),_xlpm.dias,IF(_xlpm.inicio&gt;_xlpm.fin,0,NETWORKDAYS(_xlpm.inicio,_xlpm.fin,_xlpm.feriados)),_xlpm.factor,IF($G8="Probable",IF(Parametros!$B$6="Sí",1,0),1),IF(OR($A8="",$D8="",$E8=""),0,_xlpm.dias*$I8*_xlpm.factor))</f>
        <v/>
      </c>
      <c r="M8" s="33">
        <f>_xlfn.LET(_xlpm.inicio,MAX($D8,M$3),_xlpm.fin,MIN($E8,M$4),_xlpm.feriados,IF($H8="CO",FER_CO,FER_EC),_xlpm.dias,IF(_xlpm.inicio&gt;_xlpm.fin,0,NETWORKDAYS(_xlpm.inicio,_xlpm.fin,_xlpm.feriados)),_xlpm.factor,IF($G8="Probable",IF(Parametros!$B$6="Sí",1,0),1),IF(OR($A8="",$D8="",$E8=""),0,_xlpm.dias*$I8*_xlpm.factor))</f>
        <v/>
      </c>
      <c r="N8" s="33">
        <f>_xlfn.LET(_xlpm.inicio,MAX($D8,N$3),_xlpm.fin,MIN($E8,N$4),_xlpm.feriados,IF($H8="CO",FER_CO,FER_EC),_xlpm.dias,IF(_xlpm.inicio&gt;_xlpm.fin,0,NETWORKDAYS(_xlpm.inicio,_xlpm.fin,_xlpm.feriados)),_xlpm.factor,IF($G8="Probable",IF(Parametros!$B$6="Sí",1,0),1),IF(OR($A8="",$D8="",$E8=""),0,_xlpm.dias*$I8*_xlpm.factor))</f>
        <v/>
      </c>
      <c r="O8" s="33">
        <f>_xlfn.LET(_xlpm.inicio,MAX($D8,O$3),_xlpm.fin,MIN($E8,O$4),_xlpm.feriados,IF($H8="CO",FER_CO,FER_EC),_xlpm.dias,IF(_xlpm.inicio&gt;_xlpm.fin,0,NETWORKDAYS(_xlpm.inicio,_xlpm.fin,_xlpm.feriados)),_xlpm.factor,IF($G8="Probable",IF(Parametros!$B$6="Sí",1,0),1),IF(OR($A8="",$D8="",$E8=""),0,_xlpm.dias*$I8*_xlpm.factor))</f>
        <v/>
      </c>
      <c r="P8" s="34">
        <f>_xlfn.LET(_xlpm.horas,J8,_xlpm.feriados,IF($H8="CO",FER_CO,FER_EC),_xlpm.capacidad,NETWORKDAYS(J$3,J$4,_xlpm.feriados)*INDEX(Consultores!$C$6:$C$65,MATCH($A8,Consultores!$A$6:$A$65,0)),IF(_xlpm.horas=0,"",IFERROR(_xlpm.horas/_xlpm.capacidad,"")))</f>
        <v/>
      </c>
      <c r="Q8" s="34">
        <f>_xlfn.LET(_xlpm.horas,K8,_xlpm.feriados,IF($H8="CO",FER_CO,FER_EC),_xlpm.capacidad,NETWORKDAYS(K$3,K$4,_xlpm.feriados)*INDEX(Consultores!$C$6:$C$65,MATCH($A8,Consultores!$A$6:$A$65,0)),IF(_xlpm.horas=0,"",IFERROR(_xlpm.horas/_xlpm.capacidad,"")))</f>
        <v/>
      </c>
      <c r="R8" s="34">
        <f>_xlfn.LET(_xlpm.horas,L8,_xlpm.feriados,IF($H8="CO",FER_CO,FER_EC),_xlpm.capacidad,NETWORKDAYS(L$3,L$4,_xlpm.feriados)*INDEX(Consultores!$C$6:$C$65,MATCH($A8,Consultores!$A$6:$A$65,0)),IF(_xlpm.horas=0,"",IFERROR(_xlpm.horas/_xlpm.capacidad,"")))</f>
        <v/>
      </c>
      <c r="S8" s="34">
        <f>_xlfn.LET(_xlpm.horas,M8,_xlpm.feriados,IF($H8="CO",FER_CO,FER_EC),_xlpm.capacidad,NETWORKDAYS(M$3,M$4,_xlpm.feriados)*INDEX(Consultores!$C$6:$C$65,MATCH($A8,Consultores!$A$6:$A$65,0)),IF(_xlpm.horas=0,"",IFERROR(_xlpm.horas/_xlpm.capacidad,"")))</f>
        <v/>
      </c>
      <c r="T8" s="34">
        <f>_xlfn.LET(_xlpm.horas,N8,_xlpm.feriados,IF($H8="CO",FER_CO,FER_EC),_xlpm.capacidad,NETWORKDAYS(N$3,N$4,_xlpm.feriados)*INDEX(Consultores!$C$6:$C$65,MATCH($A8,Consultores!$A$6:$A$65,0)),IF(_xlpm.horas=0,"",IFERROR(_xlpm.horas/_xlpm.capacidad,"")))</f>
        <v/>
      </c>
      <c r="U8" s="34">
        <f>_xlfn.LET(_xlpm.horas,O8,_xlpm.feriados,IF($H8="CO",FER_CO,FER_EC),_xlpm.capacidad,NETWORKDAYS(O$3,O$4,_xlpm.feriados)*INDEX(Consultores!$C$6:$C$65,MATCH($A8,Consultores!$A$6:$A$65,0)),IF(_xlpm.horas=0,"",IFERROR(_xlpm.horas/_xlpm.capacidad,"")))</f>
        <v/>
      </c>
    </row>
    <row r="9">
      <c r="A9" s="25" t="inlineStr">
        <is>
          <t>Consultor Ejemplo 3</t>
        </is>
      </c>
      <c r="B9" s="25" t="inlineStr">
        <is>
          <t>Gobierno de datos</t>
        </is>
      </c>
      <c r="C9" s="25" t="inlineStr">
        <is>
          <t>Cliente D</t>
        </is>
      </c>
      <c r="D9" s="30" t="n">
        <v>46330</v>
      </c>
      <c r="E9" s="30" t="n">
        <v>46416</v>
      </c>
      <c r="F9" s="26" t="n">
        <v>20</v>
      </c>
      <c r="G9" s="25" t="inlineStr">
        <is>
          <t>Probable</t>
        </is>
      </c>
      <c r="H9" s="31">
        <f>IF($A9="","",IFERROR(INDEX(Consultores!$B$6:$B$65,MATCH($A9,Consultores!$A$6:$A$65,0)),"No existe"))</f>
        <v/>
      </c>
      <c r="I9" s="32">
        <f>IF($F9="",0,$F9/5)</f>
        <v/>
      </c>
      <c r="J9" s="33">
        <f>_xlfn.LET(_xlpm.inicio,MAX($D9,J$3),_xlpm.fin,MIN($E9,J$4),_xlpm.feriados,IF($H9="CO",FER_CO,FER_EC),_xlpm.dias,IF(_xlpm.inicio&gt;_xlpm.fin,0,NETWORKDAYS(_xlpm.inicio,_xlpm.fin,_xlpm.feriados)),_xlpm.factor,IF($G9="Probable",IF(Parametros!$B$6="Sí",1,0),1),IF(OR($A9="",$D9="",$E9=""),0,_xlpm.dias*$I9*_xlpm.factor))</f>
        <v/>
      </c>
      <c r="K9" s="33">
        <f>_xlfn.LET(_xlpm.inicio,MAX($D9,K$3),_xlpm.fin,MIN($E9,K$4),_xlpm.feriados,IF($H9="CO",FER_CO,FER_EC),_xlpm.dias,IF(_xlpm.inicio&gt;_xlpm.fin,0,NETWORKDAYS(_xlpm.inicio,_xlpm.fin,_xlpm.feriados)),_xlpm.factor,IF($G9="Probable",IF(Parametros!$B$6="Sí",1,0),1),IF(OR($A9="",$D9="",$E9=""),0,_xlpm.dias*$I9*_xlpm.factor))</f>
        <v/>
      </c>
      <c r="L9" s="33">
        <f>_xlfn.LET(_xlpm.inicio,MAX($D9,L$3),_xlpm.fin,MIN($E9,L$4),_xlpm.feriados,IF($H9="CO",FER_CO,FER_EC),_xlpm.dias,IF(_xlpm.inicio&gt;_xlpm.fin,0,NETWORKDAYS(_xlpm.inicio,_xlpm.fin,_xlpm.feriados)),_xlpm.factor,IF($G9="Probable",IF(Parametros!$B$6="Sí",1,0),1),IF(OR($A9="",$D9="",$E9=""),0,_xlpm.dias*$I9*_xlpm.factor))</f>
        <v/>
      </c>
      <c r="M9" s="33">
        <f>_xlfn.LET(_xlpm.inicio,MAX($D9,M$3),_xlpm.fin,MIN($E9,M$4),_xlpm.feriados,IF($H9="CO",FER_CO,FER_EC),_xlpm.dias,IF(_xlpm.inicio&gt;_xlpm.fin,0,NETWORKDAYS(_xlpm.inicio,_xlpm.fin,_xlpm.feriados)),_xlpm.factor,IF($G9="Probable",IF(Parametros!$B$6="Sí",1,0),1),IF(OR($A9="",$D9="",$E9=""),0,_xlpm.dias*$I9*_xlpm.factor))</f>
        <v/>
      </c>
      <c r="N9" s="33">
        <f>_xlfn.LET(_xlpm.inicio,MAX($D9,N$3),_xlpm.fin,MIN($E9,N$4),_xlpm.feriados,IF($H9="CO",FER_CO,FER_EC),_xlpm.dias,IF(_xlpm.inicio&gt;_xlpm.fin,0,NETWORKDAYS(_xlpm.inicio,_xlpm.fin,_xlpm.feriados)),_xlpm.factor,IF($G9="Probable",IF(Parametros!$B$6="Sí",1,0),1),IF(OR($A9="",$D9="",$E9=""),0,_xlpm.dias*$I9*_xlpm.factor))</f>
        <v/>
      </c>
      <c r="O9" s="33">
        <f>_xlfn.LET(_xlpm.inicio,MAX($D9,O$3),_xlpm.fin,MIN($E9,O$4),_xlpm.feriados,IF($H9="CO",FER_CO,FER_EC),_xlpm.dias,IF(_xlpm.inicio&gt;_xlpm.fin,0,NETWORKDAYS(_xlpm.inicio,_xlpm.fin,_xlpm.feriados)),_xlpm.factor,IF($G9="Probable",IF(Parametros!$B$6="Sí",1,0),1),IF(OR($A9="",$D9="",$E9=""),0,_xlpm.dias*$I9*_xlpm.factor))</f>
        <v/>
      </c>
      <c r="P9" s="34">
        <f>_xlfn.LET(_xlpm.horas,J9,_xlpm.feriados,IF($H9="CO",FER_CO,FER_EC),_xlpm.capacidad,NETWORKDAYS(J$3,J$4,_xlpm.feriados)*INDEX(Consultores!$C$6:$C$65,MATCH($A9,Consultores!$A$6:$A$65,0)),IF(_xlpm.horas=0,"",IFERROR(_xlpm.horas/_xlpm.capacidad,"")))</f>
        <v/>
      </c>
      <c r="Q9" s="34">
        <f>_xlfn.LET(_xlpm.horas,K9,_xlpm.feriados,IF($H9="CO",FER_CO,FER_EC),_xlpm.capacidad,NETWORKDAYS(K$3,K$4,_xlpm.feriados)*INDEX(Consultores!$C$6:$C$65,MATCH($A9,Consultores!$A$6:$A$65,0)),IF(_xlpm.horas=0,"",IFERROR(_xlpm.horas/_xlpm.capacidad,"")))</f>
        <v/>
      </c>
      <c r="R9" s="34">
        <f>_xlfn.LET(_xlpm.horas,L9,_xlpm.feriados,IF($H9="CO",FER_CO,FER_EC),_xlpm.capacidad,NETWORKDAYS(L$3,L$4,_xlpm.feriados)*INDEX(Consultores!$C$6:$C$65,MATCH($A9,Consultores!$A$6:$A$65,0)),IF(_xlpm.horas=0,"",IFERROR(_xlpm.horas/_xlpm.capacidad,"")))</f>
        <v/>
      </c>
      <c r="S9" s="34">
        <f>_xlfn.LET(_xlpm.horas,M9,_xlpm.feriados,IF($H9="CO",FER_CO,FER_EC),_xlpm.capacidad,NETWORKDAYS(M$3,M$4,_xlpm.feriados)*INDEX(Consultores!$C$6:$C$65,MATCH($A9,Consultores!$A$6:$A$65,0)),IF(_xlpm.horas=0,"",IFERROR(_xlpm.horas/_xlpm.capacidad,"")))</f>
        <v/>
      </c>
      <c r="T9" s="34">
        <f>_xlfn.LET(_xlpm.horas,N9,_xlpm.feriados,IF($H9="CO",FER_CO,FER_EC),_xlpm.capacidad,NETWORKDAYS(N$3,N$4,_xlpm.feriados)*INDEX(Consultores!$C$6:$C$65,MATCH($A9,Consultores!$A$6:$A$65,0)),IF(_xlpm.horas=0,"",IFERROR(_xlpm.horas/_xlpm.capacidad,"")))</f>
        <v/>
      </c>
      <c r="U9" s="34">
        <f>_xlfn.LET(_xlpm.horas,O9,_xlpm.feriados,IF($H9="CO",FER_CO,FER_EC),_xlpm.capacidad,NETWORKDAYS(O$3,O$4,_xlpm.feriados)*INDEX(Consultores!$C$6:$C$65,MATCH($A9,Consultores!$A$6:$A$65,0)),IF(_xlpm.horas=0,"",IFERROR(_xlpm.horas/_xlpm.capacidad,"")))</f>
        <v/>
      </c>
    </row>
    <row r="10">
      <c r="A10" s="25" t="n"/>
      <c r="B10" s="25" t="n"/>
      <c r="C10" s="25" t="n"/>
      <c r="D10" s="30" t="n"/>
      <c r="E10" s="30" t="n"/>
      <c r="F10" s="26" t="n"/>
      <c r="G10" s="25" t="n"/>
      <c r="H10" s="31">
        <f>IF($A10="","",IFERROR(INDEX(Consultores!$B$6:$B$65,MATCH($A10,Consultores!$A$6:$A$65,0)),"No existe"))</f>
        <v/>
      </c>
      <c r="I10" s="32">
        <f>IF($F10="",0,$F10/5)</f>
        <v/>
      </c>
      <c r="J10" s="33">
        <f>_xlfn.LET(_xlpm.inicio,MAX($D10,J$3),_xlpm.fin,MIN($E10,J$4),_xlpm.feriados,IF($H10="CO",FER_CO,FER_EC),_xlpm.dias,IF(_xlpm.inicio&gt;_xlpm.fin,0,NETWORKDAYS(_xlpm.inicio,_xlpm.fin,_xlpm.feriados)),_xlpm.factor,IF($G10="Probable",IF(Parametros!$B$6="Sí",1,0),1),IF(OR($A10="",$D10="",$E10=""),0,_xlpm.dias*$I10*_xlpm.factor))</f>
        <v/>
      </c>
      <c r="K10" s="33">
        <f>_xlfn.LET(_xlpm.inicio,MAX($D10,K$3),_xlpm.fin,MIN($E10,K$4),_xlpm.feriados,IF($H10="CO",FER_CO,FER_EC),_xlpm.dias,IF(_xlpm.inicio&gt;_xlpm.fin,0,NETWORKDAYS(_xlpm.inicio,_xlpm.fin,_xlpm.feriados)),_xlpm.factor,IF($G10="Probable",IF(Parametros!$B$6="Sí",1,0),1),IF(OR($A10="",$D10="",$E10=""),0,_xlpm.dias*$I10*_xlpm.factor))</f>
        <v/>
      </c>
      <c r="L10" s="33">
        <f>_xlfn.LET(_xlpm.inicio,MAX($D10,L$3),_xlpm.fin,MIN($E10,L$4),_xlpm.feriados,IF($H10="CO",FER_CO,FER_EC),_xlpm.dias,IF(_xlpm.inicio&gt;_xlpm.fin,0,NETWORKDAYS(_xlpm.inicio,_xlpm.fin,_xlpm.feriados)),_xlpm.factor,IF($G10="Probable",IF(Parametros!$B$6="Sí",1,0),1),IF(OR($A10="",$D10="",$E10=""),0,_xlpm.dias*$I10*_xlpm.factor))</f>
        <v/>
      </c>
      <c r="M10" s="33">
        <f>_xlfn.LET(_xlpm.inicio,MAX($D10,M$3),_xlpm.fin,MIN($E10,M$4),_xlpm.feriados,IF($H10="CO",FER_CO,FER_EC),_xlpm.dias,IF(_xlpm.inicio&gt;_xlpm.fin,0,NETWORKDAYS(_xlpm.inicio,_xlpm.fin,_xlpm.feriados)),_xlpm.factor,IF($G10="Probable",IF(Parametros!$B$6="Sí",1,0),1),IF(OR($A10="",$D10="",$E10=""),0,_xlpm.dias*$I10*_xlpm.factor))</f>
        <v/>
      </c>
      <c r="N10" s="33">
        <f>_xlfn.LET(_xlpm.inicio,MAX($D10,N$3),_xlpm.fin,MIN($E10,N$4),_xlpm.feriados,IF($H10="CO",FER_CO,FER_EC),_xlpm.dias,IF(_xlpm.inicio&gt;_xlpm.fin,0,NETWORKDAYS(_xlpm.inicio,_xlpm.fin,_xlpm.feriados)),_xlpm.factor,IF($G10="Probable",IF(Parametros!$B$6="Sí",1,0),1),IF(OR($A10="",$D10="",$E10=""),0,_xlpm.dias*$I10*_xlpm.factor))</f>
        <v/>
      </c>
      <c r="O10" s="33">
        <f>_xlfn.LET(_xlpm.inicio,MAX($D10,O$3),_xlpm.fin,MIN($E10,O$4),_xlpm.feriados,IF($H10="CO",FER_CO,FER_EC),_xlpm.dias,IF(_xlpm.inicio&gt;_xlpm.fin,0,NETWORKDAYS(_xlpm.inicio,_xlpm.fin,_xlpm.feriados)),_xlpm.factor,IF($G10="Probable",IF(Parametros!$B$6="Sí",1,0),1),IF(OR($A10="",$D10="",$E10=""),0,_xlpm.dias*$I10*_xlpm.factor))</f>
        <v/>
      </c>
      <c r="P10" s="34">
        <f>_xlfn.LET(_xlpm.horas,J10,_xlpm.feriados,IF($H10="CO",FER_CO,FER_EC),_xlpm.capacidad,NETWORKDAYS(J$3,J$4,_xlpm.feriados)*INDEX(Consultores!$C$6:$C$65,MATCH($A10,Consultores!$A$6:$A$65,0)),IF(_xlpm.horas=0,"",IFERROR(_xlpm.horas/_xlpm.capacidad,"")))</f>
        <v/>
      </c>
      <c r="Q10" s="34">
        <f>_xlfn.LET(_xlpm.horas,K10,_xlpm.feriados,IF($H10="CO",FER_CO,FER_EC),_xlpm.capacidad,NETWORKDAYS(K$3,K$4,_xlpm.feriados)*INDEX(Consultores!$C$6:$C$65,MATCH($A10,Consultores!$A$6:$A$65,0)),IF(_xlpm.horas=0,"",IFERROR(_xlpm.horas/_xlpm.capacidad,"")))</f>
        <v/>
      </c>
      <c r="R10" s="34">
        <f>_xlfn.LET(_xlpm.horas,L10,_xlpm.feriados,IF($H10="CO",FER_CO,FER_EC),_xlpm.capacidad,NETWORKDAYS(L$3,L$4,_xlpm.feriados)*INDEX(Consultores!$C$6:$C$65,MATCH($A10,Consultores!$A$6:$A$65,0)),IF(_xlpm.horas=0,"",IFERROR(_xlpm.horas/_xlpm.capacidad,"")))</f>
        <v/>
      </c>
      <c r="S10" s="34">
        <f>_xlfn.LET(_xlpm.horas,M10,_xlpm.feriados,IF($H10="CO",FER_CO,FER_EC),_xlpm.capacidad,NETWORKDAYS(M$3,M$4,_xlpm.feriados)*INDEX(Consultores!$C$6:$C$65,MATCH($A10,Consultores!$A$6:$A$65,0)),IF(_xlpm.horas=0,"",IFERROR(_xlpm.horas/_xlpm.capacidad,"")))</f>
        <v/>
      </c>
      <c r="T10" s="34">
        <f>_xlfn.LET(_xlpm.horas,N10,_xlpm.feriados,IF($H10="CO",FER_CO,FER_EC),_xlpm.capacidad,NETWORKDAYS(N$3,N$4,_xlpm.feriados)*INDEX(Consultores!$C$6:$C$65,MATCH($A10,Consultores!$A$6:$A$65,0)),IF(_xlpm.horas=0,"",IFERROR(_xlpm.horas/_xlpm.capacidad,"")))</f>
        <v/>
      </c>
      <c r="U10" s="34">
        <f>_xlfn.LET(_xlpm.horas,O10,_xlpm.feriados,IF($H10="CO",FER_CO,FER_EC),_xlpm.capacidad,NETWORKDAYS(O$3,O$4,_xlpm.feriados)*INDEX(Consultores!$C$6:$C$65,MATCH($A10,Consultores!$A$6:$A$65,0)),IF(_xlpm.horas=0,"",IFERROR(_xlpm.horas/_xlpm.capacidad,"")))</f>
        <v/>
      </c>
    </row>
    <row r="11">
      <c r="A11" s="25" t="n"/>
      <c r="B11" s="25" t="n"/>
      <c r="C11" s="25" t="n"/>
      <c r="D11" s="30" t="n"/>
      <c r="E11" s="30" t="n"/>
      <c r="F11" s="26" t="n"/>
      <c r="G11" s="25" t="n"/>
      <c r="H11" s="31">
        <f>IF($A11="","",IFERROR(INDEX(Consultores!$B$6:$B$65,MATCH($A11,Consultores!$A$6:$A$65,0)),"No existe"))</f>
        <v/>
      </c>
      <c r="I11" s="32">
        <f>IF($F11="",0,$F11/5)</f>
        <v/>
      </c>
      <c r="J11" s="33">
        <f>_xlfn.LET(_xlpm.inicio,MAX($D11,J$3),_xlpm.fin,MIN($E11,J$4),_xlpm.feriados,IF($H11="CO",FER_CO,FER_EC),_xlpm.dias,IF(_xlpm.inicio&gt;_xlpm.fin,0,NETWORKDAYS(_xlpm.inicio,_xlpm.fin,_xlpm.feriados)),_xlpm.factor,IF($G11="Probable",IF(Parametros!$B$6="Sí",1,0),1),IF(OR($A11="",$D11="",$E11=""),0,_xlpm.dias*$I11*_xlpm.factor))</f>
        <v/>
      </c>
      <c r="K11" s="33">
        <f>_xlfn.LET(_xlpm.inicio,MAX($D11,K$3),_xlpm.fin,MIN($E11,K$4),_xlpm.feriados,IF($H11="CO",FER_CO,FER_EC),_xlpm.dias,IF(_xlpm.inicio&gt;_xlpm.fin,0,NETWORKDAYS(_xlpm.inicio,_xlpm.fin,_xlpm.feriados)),_xlpm.factor,IF($G11="Probable",IF(Parametros!$B$6="Sí",1,0),1),IF(OR($A11="",$D11="",$E11=""),0,_xlpm.dias*$I11*_xlpm.factor))</f>
        <v/>
      </c>
      <c r="L11" s="33">
        <f>_xlfn.LET(_xlpm.inicio,MAX($D11,L$3),_xlpm.fin,MIN($E11,L$4),_xlpm.feriados,IF($H11="CO",FER_CO,FER_EC),_xlpm.dias,IF(_xlpm.inicio&gt;_xlpm.fin,0,NETWORKDAYS(_xlpm.inicio,_xlpm.fin,_xlpm.feriados)),_xlpm.factor,IF($G11="Probable",IF(Parametros!$B$6="Sí",1,0),1),IF(OR($A11="",$D11="",$E11=""),0,_xlpm.dias*$I11*_xlpm.factor))</f>
        <v/>
      </c>
      <c r="M11" s="33">
        <f>_xlfn.LET(_xlpm.inicio,MAX($D11,M$3),_xlpm.fin,MIN($E11,M$4),_xlpm.feriados,IF($H11="CO",FER_CO,FER_EC),_xlpm.dias,IF(_xlpm.inicio&gt;_xlpm.fin,0,NETWORKDAYS(_xlpm.inicio,_xlpm.fin,_xlpm.feriados)),_xlpm.factor,IF($G11="Probable",IF(Parametros!$B$6="Sí",1,0),1),IF(OR($A11="",$D11="",$E11=""),0,_xlpm.dias*$I11*_xlpm.factor))</f>
        <v/>
      </c>
      <c r="N11" s="33">
        <f>_xlfn.LET(_xlpm.inicio,MAX($D11,N$3),_xlpm.fin,MIN($E11,N$4),_xlpm.feriados,IF($H11="CO",FER_CO,FER_EC),_xlpm.dias,IF(_xlpm.inicio&gt;_xlpm.fin,0,NETWORKDAYS(_xlpm.inicio,_xlpm.fin,_xlpm.feriados)),_xlpm.factor,IF($G11="Probable",IF(Parametros!$B$6="Sí",1,0),1),IF(OR($A11="",$D11="",$E11=""),0,_xlpm.dias*$I11*_xlpm.factor))</f>
        <v/>
      </c>
      <c r="O11" s="33">
        <f>_xlfn.LET(_xlpm.inicio,MAX($D11,O$3),_xlpm.fin,MIN($E11,O$4),_xlpm.feriados,IF($H11="CO",FER_CO,FER_EC),_xlpm.dias,IF(_xlpm.inicio&gt;_xlpm.fin,0,NETWORKDAYS(_xlpm.inicio,_xlpm.fin,_xlpm.feriados)),_xlpm.factor,IF($G11="Probable",IF(Parametros!$B$6="Sí",1,0),1),IF(OR($A11="",$D11="",$E11=""),0,_xlpm.dias*$I11*_xlpm.factor))</f>
        <v/>
      </c>
      <c r="P11" s="34">
        <f>_xlfn.LET(_xlpm.horas,J11,_xlpm.feriados,IF($H11="CO",FER_CO,FER_EC),_xlpm.capacidad,NETWORKDAYS(J$3,J$4,_xlpm.feriados)*INDEX(Consultores!$C$6:$C$65,MATCH($A11,Consultores!$A$6:$A$65,0)),IF(_xlpm.horas=0,"",IFERROR(_xlpm.horas/_xlpm.capacidad,"")))</f>
        <v/>
      </c>
      <c r="Q11" s="34">
        <f>_xlfn.LET(_xlpm.horas,K11,_xlpm.feriados,IF($H11="CO",FER_CO,FER_EC),_xlpm.capacidad,NETWORKDAYS(K$3,K$4,_xlpm.feriados)*INDEX(Consultores!$C$6:$C$65,MATCH($A11,Consultores!$A$6:$A$65,0)),IF(_xlpm.horas=0,"",IFERROR(_xlpm.horas/_xlpm.capacidad,"")))</f>
        <v/>
      </c>
      <c r="R11" s="34">
        <f>_xlfn.LET(_xlpm.horas,L11,_xlpm.feriados,IF($H11="CO",FER_CO,FER_EC),_xlpm.capacidad,NETWORKDAYS(L$3,L$4,_xlpm.feriados)*INDEX(Consultores!$C$6:$C$65,MATCH($A11,Consultores!$A$6:$A$65,0)),IF(_xlpm.horas=0,"",IFERROR(_xlpm.horas/_xlpm.capacidad,"")))</f>
        <v/>
      </c>
      <c r="S11" s="34">
        <f>_xlfn.LET(_xlpm.horas,M11,_xlpm.feriados,IF($H11="CO",FER_CO,FER_EC),_xlpm.capacidad,NETWORKDAYS(M$3,M$4,_xlpm.feriados)*INDEX(Consultores!$C$6:$C$65,MATCH($A11,Consultores!$A$6:$A$65,0)),IF(_xlpm.horas=0,"",IFERROR(_xlpm.horas/_xlpm.capacidad,"")))</f>
        <v/>
      </c>
      <c r="T11" s="34">
        <f>_xlfn.LET(_xlpm.horas,N11,_xlpm.feriados,IF($H11="CO",FER_CO,FER_EC),_xlpm.capacidad,NETWORKDAYS(N$3,N$4,_xlpm.feriados)*INDEX(Consultores!$C$6:$C$65,MATCH($A11,Consultores!$A$6:$A$65,0)),IF(_xlpm.horas=0,"",IFERROR(_xlpm.horas/_xlpm.capacidad,"")))</f>
        <v/>
      </c>
      <c r="U11" s="34">
        <f>_xlfn.LET(_xlpm.horas,O11,_xlpm.feriados,IF($H11="CO",FER_CO,FER_EC),_xlpm.capacidad,NETWORKDAYS(O$3,O$4,_xlpm.feriados)*INDEX(Consultores!$C$6:$C$65,MATCH($A11,Consultores!$A$6:$A$65,0)),IF(_xlpm.horas=0,"",IFERROR(_xlpm.horas/_xlpm.capacidad,"")))</f>
        <v/>
      </c>
    </row>
    <row r="12">
      <c r="A12" s="25" t="n"/>
      <c r="B12" s="25" t="n"/>
      <c r="C12" s="25" t="n"/>
      <c r="D12" s="30" t="n"/>
      <c r="E12" s="30" t="n"/>
      <c r="F12" s="26" t="n"/>
      <c r="G12" s="25" t="n"/>
      <c r="H12" s="31">
        <f>IF($A12="","",IFERROR(INDEX(Consultores!$B$6:$B$65,MATCH($A12,Consultores!$A$6:$A$65,0)),"No existe"))</f>
        <v/>
      </c>
      <c r="I12" s="32">
        <f>IF($F12="",0,$F12/5)</f>
        <v/>
      </c>
      <c r="J12" s="33">
        <f>_xlfn.LET(_xlpm.inicio,MAX($D12,J$3),_xlpm.fin,MIN($E12,J$4),_xlpm.feriados,IF($H12="CO",FER_CO,FER_EC),_xlpm.dias,IF(_xlpm.inicio&gt;_xlpm.fin,0,NETWORKDAYS(_xlpm.inicio,_xlpm.fin,_xlpm.feriados)),_xlpm.factor,IF($G12="Probable",IF(Parametros!$B$6="Sí",1,0),1),IF(OR($A12="",$D12="",$E12=""),0,_xlpm.dias*$I12*_xlpm.factor))</f>
        <v/>
      </c>
      <c r="K12" s="33">
        <f>_xlfn.LET(_xlpm.inicio,MAX($D12,K$3),_xlpm.fin,MIN($E12,K$4),_xlpm.feriados,IF($H12="CO",FER_CO,FER_EC),_xlpm.dias,IF(_xlpm.inicio&gt;_xlpm.fin,0,NETWORKDAYS(_xlpm.inicio,_xlpm.fin,_xlpm.feriados)),_xlpm.factor,IF($G12="Probable",IF(Parametros!$B$6="Sí",1,0),1),IF(OR($A12="",$D12="",$E12=""),0,_xlpm.dias*$I12*_xlpm.factor))</f>
        <v/>
      </c>
      <c r="L12" s="33">
        <f>_xlfn.LET(_xlpm.inicio,MAX($D12,L$3),_xlpm.fin,MIN($E12,L$4),_xlpm.feriados,IF($H12="CO",FER_CO,FER_EC),_xlpm.dias,IF(_xlpm.inicio&gt;_xlpm.fin,0,NETWORKDAYS(_xlpm.inicio,_xlpm.fin,_xlpm.feriados)),_xlpm.factor,IF($G12="Probable",IF(Parametros!$B$6="Sí",1,0),1),IF(OR($A12="",$D12="",$E12=""),0,_xlpm.dias*$I12*_xlpm.factor))</f>
        <v/>
      </c>
      <c r="M12" s="33">
        <f>_xlfn.LET(_xlpm.inicio,MAX($D12,M$3),_xlpm.fin,MIN($E12,M$4),_xlpm.feriados,IF($H12="CO",FER_CO,FER_EC),_xlpm.dias,IF(_xlpm.inicio&gt;_xlpm.fin,0,NETWORKDAYS(_xlpm.inicio,_xlpm.fin,_xlpm.feriados)),_xlpm.factor,IF($G12="Probable",IF(Parametros!$B$6="Sí",1,0),1),IF(OR($A12="",$D12="",$E12=""),0,_xlpm.dias*$I12*_xlpm.factor))</f>
        <v/>
      </c>
      <c r="N12" s="33">
        <f>_xlfn.LET(_xlpm.inicio,MAX($D12,N$3),_xlpm.fin,MIN($E12,N$4),_xlpm.feriados,IF($H12="CO",FER_CO,FER_EC),_xlpm.dias,IF(_xlpm.inicio&gt;_xlpm.fin,0,NETWORKDAYS(_xlpm.inicio,_xlpm.fin,_xlpm.feriados)),_xlpm.factor,IF($G12="Probable",IF(Parametros!$B$6="Sí",1,0),1),IF(OR($A12="",$D12="",$E12=""),0,_xlpm.dias*$I12*_xlpm.factor))</f>
        <v/>
      </c>
      <c r="O12" s="33">
        <f>_xlfn.LET(_xlpm.inicio,MAX($D12,O$3),_xlpm.fin,MIN($E12,O$4),_xlpm.feriados,IF($H12="CO",FER_CO,FER_EC),_xlpm.dias,IF(_xlpm.inicio&gt;_xlpm.fin,0,NETWORKDAYS(_xlpm.inicio,_xlpm.fin,_xlpm.feriados)),_xlpm.factor,IF($G12="Probable",IF(Parametros!$B$6="Sí",1,0),1),IF(OR($A12="",$D12="",$E12=""),0,_xlpm.dias*$I12*_xlpm.factor))</f>
        <v/>
      </c>
      <c r="P12" s="34">
        <f>_xlfn.LET(_xlpm.horas,J12,_xlpm.feriados,IF($H12="CO",FER_CO,FER_EC),_xlpm.capacidad,NETWORKDAYS(J$3,J$4,_xlpm.feriados)*INDEX(Consultores!$C$6:$C$65,MATCH($A12,Consultores!$A$6:$A$65,0)),IF(_xlpm.horas=0,"",IFERROR(_xlpm.horas/_xlpm.capacidad,"")))</f>
        <v/>
      </c>
      <c r="Q12" s="34">
        <f>_xlfn.LET(_xlpm.horas,K12,_xlpm.feriados,IF($H12="CO",FER_CO,FER_EC),_xlpm.capacidad,NETWORKDAYS(K$3,K$4,_xlpm.feriados)*INDEX(Consultores!$C$6:$C$65,MATCH($A12,Consultores!$A$6:$A$65,0)),IF(_xlpm.horas=0,"",IFERROR(_xlpm.horas/_xlpm.capacidad,"")))</f>
        <v/>
      </c>
      <c r="R12" s="34">
        <f>_xlfn.LET(_xlpm.horas,L12,_xlpm.feriados,IF($H12="CO",FER_CO,FER_EC),_xlpm.capacidad,NETWORKDAYS(L$3,L$4,_xlpm.feriados)*INDEX(Consultores!$C$6:$C$65,MATCH($A12,Consultores!$A$6:$A$65,0)),IF(_xlpm.horas=0,"",IFERROR(_xlpm.horas/_xlpm.capacidad,"")))</f>
        <v/>
      </c>
      <c r="S12" s="34">
        <f>_xlfn.LET(_xlpm.horas,M12,_xlpm.feriados,IF($H12="CO",FER_CO,FER_EC),_xlpm.capacidad,NETWORKDAYS(M$3,M$4,_xlpm.feriados)*INDEX(Consultores!$C$6:$C$65,MATCH($A12,Consultores!$A$6:$A$65,0)),IF(_xlpm.horas=0,"",IFERROR(_xlpm.horas/_xlpm.capacidad,"")))</f>
        <v/>
      </c>
      <c r="T12" s="34">
        <f>_xlfn.LET(_xlpm.horas,N12,_xlpm.feriados,IF($H12="CO",FER_CO,FER_EC),_xlpm.capacidad,NETWORKDAYS(N$3,N$4,_xlpm.feriados)*INDEX(Consultores!$C$6:$C$65,MATCH($A12,Consultores!$A$6:$A$65,0)),IF(_xlpm.horas=0,"",IFERROR(_xlpm.horas/_xlpm.capacidad,"")))</f>
        <v/>
      </c>
      <c r="U12" s="34">
        <f>_xlfn.LET(_xlpm.horas,O12,_xlpm.feriados,IF($H12="CO",FER_CO,FER_EC),_xlpm.capacidad,NETWORKDAYS(O$3,O$4,_xlpm.feriados)*INDEX(Consultores!$C$6:$C$65,MATCH($A12,Consultores!$A$6:$A$65,0)),IF(_xlpm.horas=0,"",IFERROR(_xlpm.horas/_xlpm.capacidad,"")))</f>
        <v/>
      </c>
    </row>
    <row r="13">
      <c r="A13" s="25" t="n"/>
      <c r="B13" s="25" t="n"/>
      <c r="C13" s="25" t="n"/>
      <c r="D13" s="30" t="n"/>
      <c r="E13" s="30" t="n"/>
      <c r="F13" s="26" t="n"/>
      <c r="G13" s="25" t="n"/>
      <c r="H13" s="31">
        <f>IF($A13="","",IFERROR(INDEX(Consultores!$B$6:$B$65,MATCH($A13,Consultores!$A$6:$A$65,0)),"No existe"))</f>
        <v/>
      </c>
      <c r="I13" s="32">
        <f>IF($F13="",0,$F13/5)</f>
        <v/>
      </c>
      <c r="J13" s="33">
        <f>_xlfn.LET(_xlpm.inicio,MAX($D13,J$3),_xlpm.fin,MIN($E13,J$4),_xlpm.feriados,IF($H13="CO",FER_CO,FER_EC),_xlpm.dias,IF(_xlpm.inicio&gt;_xlpm.fin,0,NETWORKDAYS(_xlpm.inicio,_xlpm.fin,_xlpm.feriados)),_xlpm.factor,IF($G13="Probable",IF(Parametros!$B$6="Sí",1,0),1),IF(OR($A13="",$D13="",$E13=""),0,_xlpm.dias*$I13*_xlpm.factor))</f>
        <v/>
      </c>
      <c r="K13" s="33">
        <f>_xlfn.LET(_xlpm.inicio,MAX($D13,K$3),_xlpm.fin,MIN($E13,K$4),_xlpm.feriados,IF($H13="CO",FER_CO,FER_EC),_xlpm.dias,IF(_xlpm.inicio&gt;_xlpm.fin,0,NETWORKDAYS(_xlpm.inicio,_xlpm.fin,_xlpm.feriados)),_xlpm.factor,IF($G13="Probable",IF(Parametros!$B$6="Sí",1,0),1),IF(OR($A13="",$D13="",$E13=""),0,_xlpm.dias*$I13*_xlpm.factor))</f>
        <v/>
      </c>
      <c r="L13" s="33">
        <f>_xlfn.LET(_xlpm.inicio,MAX($D13,L$3),_xlpm.fin,MIN($E13,L$4),_xlpm.feriados,IF($H13="CO",FER_CO,FER_EC),_xlpm.dias,IF(_xlpm.inicio&gt;_xlpm.fin,0,NETWORKDAYS(_xlpm.inicio,_xlpm.fin,_xlpm.feriados)),_xlpm.factor,IF($G13="Probable",IF(Parametros!$B$6="Sí",1,0),1),IF(OR($A13="",$D13="",$E13=""),0,_xlpm.dias*$I13*_xlpm.factor))</f>
        <v/>
      </c>
      <c r="M13" s="33">
        <f>_xlfn.LET(_xlpm.inicio,MAX($D13,M$3),_xlpm.fin,MIN($E13,M$4),_xlpm.feriados,IF($H13="CO",FER_CO,FER_EC),_xlpm.dias,IF(_xlpm.inicio&gt;_xlpm.fin,0,NETWORKDAYS(_xlpm.inicio,_xlpm.fin,_xlpm.feriados)),_xlpm.factor,IF($G13="Probable",IF(Parametros!$B$6="Sí",1,0),1),IF(OR($A13="",$D13="",$E13=""),0,_xlpm.dias*$I13*_xlpm.factor))</f>
        <v/>
      </c>
      <c r="N13" s="33">
        <f>_xlfn.LET(_xlpm.inicio,MAX($D13,N$3),_xlpm.fin,MIN($E13,N$4),_xlpm.feriados,IF($H13="CO",FER_CO,FER_EC),_xlpm.dias,IF(_xlpm.inicio&gt;_xlpm.fin,0,NETWORKDAYS(_xlpm.inicio,_xlpm.fin,_xlpm.feriados)),_xlpm.factor,IF($G13="Probable",IF(Parametros!$B$6="Sí",1,0),1),IF(OR($A13="",$D13="",$E13=""),0,_xlpm.dias*$I13*_xlpm.factor))</f>
        <v/>
      </c>
      <c r="O13" s="33">
        <f>_xlfn.LET(_xlpm.inicio,MAX($D13,O$3),_xlpm.fin,MIN($E13,O$4),_xlpm.feriados,IF($H13="CO",FER_CO,FER_EC),_xlpm.dias,IF(_xlpm.inicio&gt;_xlpm.fin,0,NETWORKDAYS(_xlpm.inicio,_xlpm.fin,_xlpm.feriados)),_xlpm.factor,IF($G13="Probable",IF(Parametros!$B$6="Sí",1,0),1),IF(OR($A13="",$D13="",$E13=""),0,_xlpm.dias*$I13*_xlpm.factor))</f>
        <v/>
      </c>
      <c r="P13" s="34">
        <f>_xlfn.LET(_xlpm.horas,J13,_xlpm.feriados,IF($H13="CO",FER_CO,FER_EC),_xlpm.capacidad,NETWORKDAYS(J$3,J$4,_xlpm.feriados)*INDEX(Consultores!$C$6:$C$65,MATCH($A13,Consultores!$A$6:$A$65,0)),IF(_xlpm.horas=0,"",IFERROR(_xlpm.horas/_xlpm.capacidad,"")))</f>
        <v/>
      </c>
      <c r="Q13" s="34">
        <f>_xlfn.LET(_xlpm.horas,K13,_xlpm.feriados,IF($H13="CO",FER_CO,FER_EC),_xlpm.capacidad,NETWORKDAYS(K$3,K$4,_xlpm.feriados)*INDEX(Consultores!$C$6:$C$65,MATCH($A13,Consultores!$A$6:$A$65,0)),IF(_xlpm.horas=0,"",IFERROR(_xlpm.horas/_xlpm.capacidad,"")))</f>
        <v/>
      </c>
      <c r="R13" s="34">
        <f>_xlfn.LET(_xlpm.horas,L13,_xlpm.feriados,IF($H13="CO",FER_CO,FER_EC),_xlpm.capacidad,NETWORKDAYS(L$3,L$4,_xlpm.feriados)*INDEX(Consultores!$C$6:$C$65,MATCH($A13,Consultores!$A$6:$A$65,0)),IF(_xlpm.horas=0,"",IFERROR(_xlpm.horas/_xlpm.capacidad,"")))</f>
        <v/>
      </c>
      <c r="S13" s="34">
        <f>_xlfn.LET(_xlpm.horas,M13,_xlpm.feriados,IF($H13="CO",FER_CO,FER_EC),_xlpm.capacidad,NETWORKDAYS(M$3,M$4,_xlpm.feriados)*INDEX(Consultores!$C$6:$C$65,MATCH($A13,Consultores!$A$6:$A$65,0)),IF(_xlpm.horas=0,"",IFERROR(_xlpm.horas/_xlpm.capacidad,"")))</f>
        <v/>
      </c>
      <c r="T13" s="34">
        <f>_xlfn.LET(_xlpm.horas,N13,_xlpm.feriados,IF($H13="CO",FER_CO,FER_EC),_xlpm.capacidad,NETWORKDAYS(N$3,N$4,_xlpm.feriados)*INDEX(Consultores!$C$6:$C$65,MATCH($A13,Consultores!$A$6:$A$65,0)),IF(_xlpm.horas=0,"",IFERROR(_xlpm.horas/_xlpm.capacidad,"")))</f>
        <v/>
      </c>
      <c r="U13" s="34">
        <f>_xlfn.LET(_xlpm.horas,O13,_xlpm.feriados,IF($H13="CO",FER_CO,FER_EC),_xlpm.capacidad,NETWORKDAYS(O$3,O$4,_xlpm.feriados)*INDEX(Consultores!$C$6:$C$65,MATCH($A13,Consultores!$A$6:$A$65,0)),IF(_xlpm.horas=0,"",IFERROR(_xlpm.horas/_xlpm.capacidad,"")))</f>
        <v/>
      </c>
    </row>
    <row r="14">
      <c r="A14" s="25" t="n"/>
      <c r="B14" s="25" t="n"/>
      <c r="C14" s="25" t="n"/>
      <c r="D14" s="30" t="n"/>
      <c r="E14" s="30" t="n"/>
      <c r="F14" s="26" t="n"/>
      <c r="G14" s="25" t="n"/>
      <c r="H14" s="31">
        <f>IF($A14="","",IFERROR(INDEX(Consultores!$B$6:$B$65,MATCH($A14,Consultores!$A$6:$A$65,0)),"No existe"))</f>
        <v/>
      </c>
      <c r="I14" s="32">
        <f>IF($F14="",0,$F14/5)</f>
        <v/>
      </c>
      <c r="J14" s="33">
        <f>_xlfn.LET(_xlpm.inicio,MAX($D14,J$3),_xlpm.fin,MIN($E14,J$4),_xlpm.feriados,IF($H14="CO",FER_CO,FER_EC),_xlpm.dias,IF(_xlpm.inicio&gt;_xlpm.fin,0,NETWORKDAYS(_xlpm.inicio,_xlpm.fin,_xlpm.feriados)),_xlpm.factor,IF($G14="Probable",IF(Parametros!$B$6="Sí",1,0),1),IF(OR($A14="",$D14="",$E14=""),0,_xlpm.dias*$I14*_xlpm.factor))</f>
        <v/>
      </c>
      <c r="K14" s="33">
        <f>_xlfn.LET(_xlpm.inicio,MAX($D14,K$3),_xlpm.fin,MIN($E14,K$4),_xlpm.feriados,IF($H14="CO",FER_CO,FER_EC),_xlpm.dias,IF(_xlpm.inicio&gt;_xlpm.fin,0,NETWORKDAYS(_xlpm.inicio,_xlpm.fin,_xlpm.feriados)),_xlpm.factor,IF($G14="Probable",IF(Parametros!$B$6="Sí",1,0),1),IF(OR($A14="",$D14="",$E14=""),0,_xlpm.dias*$I14*_xlpm.factor))</f>
        <v/>
      </c>
      <c r="L14" s="33">
        <f>_xlfn.LET(_xlpm.inicio,MAX($D14,L$3),_xlpm.fin,MIN($E14,L$4),_xlpm.feriados,IF($H14="CO",FER_CO,FER_EC),_xlpm.dias,IF(_xlpm.inicio&gt;_xlpm.fin,0,NETWORKDAYS(_xlpm.inicio,_xlpm.fin,_xlpm.feriados)),_xlpm.factor,IF($G14="Probable",IF(Parametros!$B$6="Sí",1,0),1),IF(OR($A14="",$D14="",$E14=""),0,_xlpm.dias*$I14*_xlpm.factor))</f>
        <v/>
      </c>
      <c r="M14" s="33">
        <f>_xlfn.LET(_xlpm.inicio,MAX($D14,M$3),_xlpm.fin,MIN($E14,M$4),_xlpm.feriados,IF($H14="CO",FER_CO,FER_EC),_xlpm.dias,IF(_xlpm.inicio&gt;_xlpm.fin,0,NETWORKDAYS(_xlpm.inicio,_xlpm.fin,_xlpm.feriados)),_xlpm.factor,IF($G14="Probable",IF(Parametros!$B$6="Sí",1,0),1),IF(OR($A14="",$D14="",$E14=""),0,_xlpm.dias*$I14*_xlpm.factor))</f>
        <v/>
      </c>
      <c r="N14" s="33">
        <f>_xlfn.LET(_xlpm.inicio,MAX($D14,N$3),_xlpm.fin,MIN($E14,N$4),_xlpm.feriados,IF($H14="CO",FER_CO,FER_EC),_xlpm.dias,IF(_xlpm.inicio&gt;_xlpm.fin,0,NETWORKDAYS(_xlpm.inicio,_xlpm.fin,_xlpm.feriados)),_xlpm.factor,IF($G14="Probable",IF(Parametros!$B$6="Sí",1,0),1),IF(OR($A14="",$D14="",$E14=""),0,_xlpm.dias*$I14*_xlpm.factor))</f>
        <v/>
      </c>
      <c r="O14" s="33">
        <f>_xlfn.LET(_xlpm.inicio,MAX($D14,O$3),_xlpm.fin,MIN($E14,O$4),_xlpm.feriados,IF($H14="CO",FER_CO,FER_EC),_xlpm.dias,IF(_xlpm.inicio&gt;_xlpm.fin,0,NETWORKDAYS(_xlpm.inicio,_xlpm.fin,_xlpm.feriados)),_xlpm.factor,IF($G14="Probable",IF(Parametros!$B$6="Sí",1,0),1),IF(OR($A14="",$D14="",$E14=""),0,_xlpm.dias*$I14*_xlpm.factor))</f>
        <v/>
      </c>
      <c r="P14" s="34">
        <f>_xlfn.LET(_xlpm.horas,J14,_xlpm.feriados,IF($H14="CO",FER_CO,FER_EC),_xlpm.capacidad,NETWORKDAYS(J$3,J$4,_xlpm.feriados)*INDEX(Consultores!$C$6:$C$65,MATCH($A14,Consultores!$A$6:$A$65,0)),IF(_xlpm.horas=0,"",IFERROR(_xlpm.horas/_xlpm.capacidad,"")))</f>
        <v/>
      </c>
      <c r="Q14" s="34">
        <f>_xlfn.LET(_xlpm.horas,K14,_xlpm.feriados,IF($H14="CO",FER_CO,FER_EC),_xlpm.capacidad,NETWORKDAYS(K$3,K$4,_xlpm.feriados)*INDEX(Consultores!$C$6:$C$65,MATCH($A14,Consultores!$A$6:$A$65,0)),IF(_xlpm.horas=0,"",IFERROR(_xlpm.horas/_xlpm.capacidad,"")))</f>
        <v/>
      </c>
      <c r="R14" s="34">
        <f>_xlfn.LET(_xlpm.horas,L14,_xlpm.feriados,IF($H14="CO",FER_CO,FER_EC),_xlpm.capacidad,NETWORKDAYS(L$3,L$4,_xlpm.feriados)*INDEX(Consultores!$C$6:$C$65,MATCH($A14,Consultores!$A$6:$A$65,0)),IF(_xlpm.horas=0,"",IFERROR(_xlpm.horas/_xlpm.capacidad,"")))</f>
        <v/>
      </c>
      <c r="S14" s="34">
        <f>_xlfn.LET(_xlpm.horas,M14,_xlpm.feriados,IF($H14="CO",FER_CO,FER_EC),_xlpm.capacidad,NETWORKDAYS(M$3,M$4,_xlpm.feriados)*INDEX(Consultores!$C$6:$C$65,MATCH($A14,Consultores!$A$6:$A$65,0)),IF(_xlpm.horas=0,"",IFERROR(_xlpm.horas/_xlpm.capacidad,"")))</f>
        <v/>
      </c>
      <c r="T14" s="34">
        <f>_xlfn.LET(_xlpm.horas,N14,_xlpm.feriados,IF($H14="CO",FER_CO,FER_EC),_xlpm.capacidad,NETWORKDAYS(N$3,N$4,_xlpm.feriados)*INDEX(Consultores!$C$6:$C$65,MATCH($A14,Consultores!$A$6:$A$65,0)),IF(_xlpm.horas=0,"",IFERROR(_xlpm.horas/_xlpm.capacidad,"")))</f>
        <v/>
      </c>
      <c r="U14" s="34">
        <f>_xlfn.LET(_xlpm.horas,O14,_xlpm.feriados,IF($H14="CO",FER_CO,FER_EC),_xlpm.capacidad,NETWORKDAYS(O$3,O$4,_xlpm.feriados)*INDEX(Consultores!$C$6:$C$65,MATCH($A14,Consultores!$A$6:$A$65,0)),IF(_xlpm.horas=0,"",IFERROR(_xlpm.horas/_xlpm.capacidad,"")))</f>
        <v/>
      </c>
    </row>
    <row r="15">
      <c r="A15" s="25" t="n"/>
      <c r="B15" s="25" t="n"/>
      <c r="C15" s="25" t="n"/>
      <c r="D15" s="30" t="n"/>
      <c r="E15" s="30" t="n"/>
      <c r="F15" s="26" t="n"/>
      <c r="G15" s="25" t="n"/>
      <c r="H15" s="31">
        <f>IF($A15="","",IFERROR(INDEX(Consultores!$B$6:$B$65,MATCH($A15,Consultores!$A$6:$A$65,0)),"No existe"))</f>
        <v/>
      </c>
      <c r="I15" s="32">
        <f>IF($F15="",0,$F15/5)</f>
        <v/>
      </c>
      <c r="J15" s="33">
        <f>_xlfn.LET(_xlpm.inicio,MAX($D15,J$3),_xlpm.fin,MIN($E15,J$4),_xlpm.feriados,IF($H15="CO",FER_CO,FER_EC),_xlpm.dias,IF(_xlpm.inicio&gt;_xlpm.fin,0,NETWORKDAYS(_xlpm.inicio,_xlpm.fin,_xlpm.feriados)),_xlpm.factor,IF($G15="Probable",IF(Parametros!$B$6="Sí",1,0),1),IF(OR($A15="",$D15="",$E15=""),0,_xlpm.dias*$I15*_xlpm.factor))</f>
        <v/>
      </c>
      <c r="K15" s="33">
        <f>_xlfn.LET(_xlpm.inicio,MAX($D15,K$3),_xlpm.fin,MIN($E15,K$4),_xlpm.feriados,IF($H15="CO",FER_CO,FER_EC),_xlpm.dias,IF(_xlpm.inicio&gt;_xlpm.fin,0,NETWORKDAYS(_xlpm.inicio,_xlpm.fin,_xlpm.feriados)),_xlpm.factor,IF($G15="Probable",IF(Parametros!$B$6="Sí",1,0),1),IF(OR($A15="",$D15="",$E15=""),0,_xlpm.dias*$I15*_xlpm.factor))</f>
        <v/>
      </c>
      <c r="L15" s="33">
        <f>_xlfn.LET(_xlpm.inicio,MAX($D15,L$3),_xlpm.fin,MIN($E15,L$4),_xlpm.feriados,IF($H15="CO",FER_CO,FER_EC),_xlpm.dias,IF(_xlpm.inicio&gt;_xlpm.fin,0,NETWORKDAYS(_xlpm.inicio,_xlpm.fin,_xlpm.feriados)),_xlpm.factor,IF($G15="Probable",IF(Parametros!$B$6="Sí",1,0),1),IF(OR($A15="",$D15="",$E15=""),0,_xlpm.dias*$I15*_xlpm.factor))</f>
        <v/>
      </c>
      <c r="M15" s="33">
        <f>_xlfn.LET(_xlpm.inicio,MAX($D15,M$3),_xlpm.fin,MIN($E15,M$4),_xlpm.feriados,IF($H15="CO",FER_CO,FER_EC),_xlpm.dias,IF(_xlpm.inicio&gt;_xlpm.fin,0,NETWORKDAYS(_xlpm.inicio,_xlpm.fin,_xlpm.feriados)),_xlpm.factor,IF($G15="Probable",IF(Parametros!$B$6="Sí",1,0),1),IF(OR($A15="",$D15="",$E15=""),0,_xlpm.dias*$I15*_xlpm.factor))</f>
        <v/>
      </c>
      <c r="N15" s="33">
        <f>_xlfn.LET(_xlpm.inicio,MAX($D15,N$3),_xlpm.fin,MIN($E15,N$4),_xlpm.feriados,IF($H15="CO",FER_CO,FER_EC),_xlpm.dias,IF(_xlpm.inicio&gt;_xlpm.fin,0,NETWORKDAYS(_xlpm.inicio,_xlpm.fin,_xlpm.feriados)),_xlpm.factor,IF($G15="Probable",IF(Parametros!$B$6="Sí",1,0),1),IF(OR($A15="",$D15="",$E15=""),0,_xlpm.dias*$I15*_xlpm.factor))</f>
        <v/>
      </c>
      <c r="O15" s="33">
        <f>_xlfn.LET(_xlpm.inicio,MAX($D15,O$3),_xlpm.fin,MIN($E15,O$4),_xlpm.feriados,IF($H15="CO",FER_CO,FER_EC),_xlpm.dias,IF(_xlpm.inicio&gt;_xlpm.fin,0,NETWORKDAYS(_xlpm.inicio,_xlpm.fin,_xlpm.feriados)),_xlpm.factor,IF($G15="Probable",IF(Parametros!$B$6="Sí",1,0),1),IF(OR($A15="",$D15="",$E15=""),0,_xlpm.dias*$I15*_xlpm.factor))</f>
        <v/>
      </c>
      <c r="P15" s="34">
        <f>_xlfn.LET(_xlpm.horas,J15,_xlpm.feriados,IF($H15="CO",FER_CO,FER_EC),_xlpm.capacidad,NETWORKDAYS(J$3,J$4,_xlpm.feriados)*INDEX(Consultores!$C$6:$C$65,MATCH($A15,Consultores!$A$6:$A$65,0)),IF(_xlpm.horas=0,"",IFERROR(_xlpm.horas/_xlpm.capacidad,"")))</f>
        <v/>
      </c>
      <c r="Q15" s="34">
        <f>_xlfn.LET(_xlpm.horas,K15,_xlpm.feriados,IF($H15="CO",FER_CO,FER_EC),_xlpm.capacidad,NETWORKDAYS(K$3,K$4,_xlpm.feriados)*INDEX(Consultores!$C$6:$C$65,MATCH($A15,Consultores!$A$6:$A$65,0)),IF(_xlpm.horas=0,"",IFERROR(_xlpm.horas/_xlpm.capacidad,"")))</f>
        <v/>
      </c>
      <c r="R15" s="34">
        <f>_xlfn.LET(_xlpm.horas,L15,_xlpm.feriados,IF($H15="CO",FER_CO,FER_EC),_xlpm.capacidad,NETWORKDAYS(L$3,L$4,_xlpm.feriados)*INDEX(Consultores!$C$6:$C$65,MATCH($A15,Consultores!$A$6:$A$65,0)),IF(_xlpm.horas=0,"",IFERROR(_xlpm.horas/_xlpm.capacidad,"")))</f>
        <v/>
      </c>
      <c r="S15" s="34">
        <f>_xlfn.LET(_xlpm.horas,M15,_xlpm.feriados,IF($H15="CO",FER_CO,FER_EC),_xlpm.capacidad,NETWORKDAYS(M$3,M$4,_xlpm.feriados)*INDEX(Consultores!$C$6:$C$65,MATCH($A15,Consultores!$A$6:$A$65,0)),IF(_xlpm.horas=0,"",IFERROR(_xlpm.horas/_xlpm.capacidad,"")))</f>
        <v/>
      </c>
      <c r="T15" s="34">
        <f>_xlfn.LET(_xlpm.horas,N15,_xlpm.feriados,IF($H15="CO",FER_CO,FER_EC),_xlpm.capacidad,NETWORKDAYS(N$3,N$4,_xlpm.feriados)*INDEX(Consultores!$C$6:$C$65,MATCH($A15,Consultores!$A$6:$A$65,0)),IF(_xlpm.horas=0,"",IFERROR(_xlpm.horas/_xlpm.capacidad,"")))</f>
        <v/>
      </c>
      <c r="U15" s="34">
        <f>_xlfn.LET(_xlpm.horas,O15,_xlpm.feriados,IF($H15="CO",FER_CO,FER_EC),_xlpm.capacidad,NETWORKDAYS(O$3,O$4,_xlpm.feriados)*INDEX(Consultores!$C$6:$C$65,MATCH($A15,Consultores!$A$6:$A$65,0)),IF(_xlpm.horas=0,"",IFERROR(_xlpm.horas/_xlpm.capacidad,"")))</f>
        <v/>
      </c>
    </row>
    <row r="16">
      <c r="A16" s="25" t="n"/>
      <c r="B16" s="25" t="n"/>
      <c r="C16" s="25" t="n"/>
      <c r="D16" s="30" t="n"/>
      <c r="E16" s="30" t="n"/>
      <c r="F16" s="26" t="n"/>
      <c r="G16" s="25" t="n"/>
      <c r="H16" s="31">
        <f>IF($A16="","",IFERROR(INDEX(Consultores!$B$6:$B$65,MATCH($A16,Consultores!$A$6:$A$65,0)),"No existe"))</f>
        <v/>
      </c>
      <c r="I16" s="32">
        <f>IF($F16="",0,$F16/5)</f>
        <v/>
      </c>
      <c r="J16" s="33">
        <f>_xlfn.LET(_xlpm.inicio,MAX($D16,J$3),_xlpm.fin,MIN($E16,J$4),_xlpm.feriados,IF($H16="CO",FER_CO,FER_EC),_xlpm.dias,IF(_xlpm.inicio&gt;_xlpm.fin,0,NETWORKDAYS(_xlpm.inicio,_xlpm.fin,_xlpm.feriados)),_xlpm.factor,IF($G16="Probable",IF(Parametros!$B$6="Sí",1,0),1),IF(OR($A16="",$D16="",$E16=""),0,_xlpm.dias*$I16*_xlpm.factor))</f>
        <v/>
      </c>
      <c r="K16" s="33">
        <f>_xlfn.LET(_xlpm.inicio,MAX($D16,K$3),_xlpm.fin,MIN($E16,K$4),_xlpm.feriados,IF($H16="CO",FER_CO,FER_EC),_xlpm.dias,IF(_xlpm.inicio&gt;_xlpm.fin,0,NETWORKDAYS(_xlpm.inicio,_xlpm.fin,_xlpm.feriados)),_xlpm.factor,IF($G16="Probable",IF(Parametros!$B$6="Sí",1,0),1),IF(OR($A16="",$D16="",$E16=""),0,_xlpm.dias*$I16*_xlpm.factor))</f>
        <v/>
      </c>
      <c r="L16" s="33">
        <f>_xlfn.LET(_xlpm.inicio,MAX($D16,L$3),_xlpm.fin,MIN($E16,L$4),_xlpm.feriados,IF($H16="CO",FER_CO,FER_EC),_xlpm.dias,IF(_xlpm.inicio&gt;_xlpm.fin,0,NETWORKDAYS(_xlpm.inicio,_xlpm.fin,_xlpm.feriados)),_xlpm.factor,IF($G16="Probable",IF(Parametros!$B$6="Sí",1,0),1),IF(OR($A16="",$D16="",$E16=""),0,_xlpm.dias*$I16*_xlpm.factor))</f>
        <v/>
      </c>
      <c r="M16" s="33">
        <f>_xlfn.LET(_xlpm.inicio,MAX($D16,M$3),_xlpm.fin,MIN($E16,M$4),_xlpm.feriados,IF($H16="CO",FER_CO,FER_EC),_xlpm.dias,IF(_xlpm.inicio&gt;_xlpm.fin,0,NETWORKDAYS(_xlpm.inicio,_xlpm.fin,_xlpm.feriados)),_xlpm.factor,IF($G16="Probable",IF(Parametros!$B$6="Sí",1,0),1),IF(OR($A16="",$D16="",$E16=""),0,_xlpm.dias*$I16*_xlpm.factor))</f>
        <v/>
      </c>
      <c r="N16" s="33">
        <f>_xlfn.LET(_xlpm.inicio,MAX($D16,N$3),_xlpm.fin,MIN($E16,N$4),_xlpm.feriados,IF($H16="CO",FER_CO,FER_EC),_xlpm.dias,IF(_xlpm.inicio&gt;_xlpm.fin,0,NETWORKDAYS(_xlpm.inicio,_xlpm.fin,_xlpm.feriados)),_xlpm.factor,IF($G16="Probable",IF(Parametros!$B$6="Sí",1,0),1),IF(OR($A16="",$D16="",$E16=""),0,_xlpm.dias*$I16*_xlpm.factor))</f>
        <v/>
      </c>
      <c r="O16" s="33">
        <f>_xlfn.LET(_xlpm.inicio,MAX($D16,O$3),_xlpm.fin,MIN($E16,O$4),_xlpm.feriados,IF($H16="CO",FER_CO,FER_EC),_xlpm.dias,IF(_xlpm.inicio&gt;_xlpm.fin,0,NETWORKDAYS(_xlpm.inicio,_xlpm.fin,_xlpm.feriados)),_xlpm.factor,IF($G16="Probable",IF(Parametros!$B$6="Sí",1,0),1),IF(OR($A16="",$D16="",$E16=""),0,_xlpm.dias*$I16*_xlpm.factor))</f>
        <v/>
      </c>
      <c r="P16" s="34">
        <f>_xlfn.LET(_xlpm.horas,J16,_xlpm.feriados,IF($H16="CO",FER_CO,FER_EC),_xlpm.capacidad,NETWORKDAYS(J$3,J$4,_xlpm.feriados)*INDEX(Consultores!$C$6:$C$65,MATCH($A16,Consultores!$A$6:$A$65,0)),IF(_xlpm.horas=0,"",IFERROR(_xlpm.horas/_xlpm.capacidad,"")))</f>
        <v/>
      </c>
      <c r="Q16" s="34">
        <f>_xlfn.LET(_xlpm.horas,K16,_xlpm.feriados,IF($H16="CO",FER_CO,FER_EC),_xlpm.capacidad,NETWORKDAYS(K$3,K$4,_xlpm.feriados)*INDEX(Consultores!$C$6:$C$65,MATCH($A16,Consultores!$A$6:$A$65,0)),IF(_xlpm.horas=0,"",IFERROR(_xlpm.horas/_xlpm.capacidad,"")))</f>
        <v/>
      </c>
      <c r="R16" s="34">
        <f>_xlfn.LET(_xlpm.horas,L16,_xlpm.feriados,IF($H16="CO",FER_CO,FER_EC),_xlpm.capacidad,NETWORKDAYS(L$3,L$4,_xlpm.feriados)*INDEX(Consultores!$C$6:$C$65,MATCH($A16,Consultores!$A$6:$A$65,0)),IF(_xlpm.horas=0,"",IFERROR(_xlpm.horas/_xlpm.capacidad,"")))</f>
        <v/>
      </c>
      <c r="S16" s="34">
        <f>_xlfn.LET(_xlpm.horas,M16,_xlpm.feriados,IF($H16="CO",FER_CO,FER_EC),_xlpm.capacidad,NETWORKDAYS(M$3,M$4,_xlpm.feriados)*INDEX(Consultores!$C$6:$C$65,MATCH($A16,Consultores!$A$6:$A$65,0)),IF(_xlpm.horas=0,"",IFERROR(_xlpm.horas/_xlpm.capacidad,"")))</f>
        <v/>
      </c>
      <c r="T16" s="34">
        <f>_xlfn.LET(_xlpm.horas,N16,_xlpm.feriados,IF($H16="CO",FER_CO,FER_EC),_xlpm.capacidad,NETWORKDAYS(N$3,N$4,_xlpm.feriados)*INDEX(Consultores!$C$6:$C$65,MATCH($A16,Consultores!$A$6:$A$65,0)),IF(_xlpm.horas=0,"",IFERROR(_xlpm.horas/_xlpm.capacidad,"")))</f>
        <v/>
      </c>
      <c r="U16" s="34">
        <f>_xlfn.LET(_xlpm.horas,O16,_xlpm.feriados,IF($H16="CO",FER_CO,FER_EC),_xlpm.capacidad,NETWORKDAYS(O$3,O$4,_xlpm.feriados)*INDEX(Consultores!$C$6:$C$65,MATCH($A16,Consultores!$A$6:$A$65,0)),IF(_xlpm.horas=0,"",IFERROR(_xlpm.horas/_xlpm.capacidad,"")))</f>
        <v/>
      </c>
    </row>
    <row r="17">
      <c r="A17" s="25" t="n"/>
      <c r="B17" s="25" t="n"/>
      <c r="C17" s="25" t="n"/>
      <c r="D17" s="30" t="n"/>
      <c r="E17" s="30" t="n"/>
      <c r="F17" s="26" t="n"/>
      <c r="G17" s="25" t="n"/>
      <c r="H17" s="31">
        <f>IF($A17="","",IFERROR(INDEX(Consultores!$B$6:$B$65,MATCH($A17,Consultores!$A$6:$A$65,0)),"No existe"))</f>
        <v/>
      </c>
      <c r="I17" s="32">
        <f>IF($F17="",0,$F17/5)</f>
        <v/>
      </c>
      <c r="J17" s="33">
        <f>_xlfn.LET(_xlpm.inicio,MAX($D17,J$3),_xlpm.fin,MIN($E17,J$4),_xlpm.feriados,IF($H17="CO",FER_CO,FER_EC),_xlpm.dias,IF(_xlpm.inicio&gt;_xlpm.fin,0,NETWORKDAYS(_xlpm.inicio,_xlpm.fin,_xlpm.feriados)),_xlpm.factor,IF($G17="Probable",IF(Parametros!$B$6="Sí",1,0),1),IF(OR($A17="",$D17="",$E17=""),0,_xlpm.dias*$I17*_xlpm.factor))</f>
        <v/>
      </c>
      <c r="K17" s="33">
        <f>_xlfn.LET(_xlpm.inicio,MAX($D17,K$3),_xlpm.fin,MIN($E17,K$4),_xlpm.feriados,IF($H17="CO",FER_CO,FER_EC),_xlpm.dias,IF(_xlpm.inicio&gt;_xlpm.fin,0,NETWORKDAYS(_xlpm.inicio,_xlpm.fin,_xlpm.feriados)),_xlpm.factor,IF($G17="Probable",IF(Parametros!$B$6="Sí",1,0),1),IF(OR($A17="",$D17="",$E17=""),0,_xlpm.dias*$I17*_xlpm.factor))</f>
        <v/>
      </c>
      <c r="L17" s="33">
        <f>_xlfn.LET(_xlpm.inicio,MAX($D17,L$3),_xlpm.fin,MIN($E17,L$4),_xlpm.feriados,IF($H17="CO",FER_CO,FER_EC),_xlpm.dias,IF(_xlpm.inicio&gt;_xlpm.fin,0,NETWORKDAYS(_xlpm.inicio,_xlpm.fin,_xlpm.feriados)),_xlpm.factor,IF($G17="Probable",IF(Parametros!$B$6="Sí",1,0),1),IF(OR($A17="",$D17="",$E17=""),0,_xlpm.dias*$I17*_xlpm.factor))</f>
        <v/>
      </c>
      <c r="M17" s="33">
        <f>_xlfn.LET(_xlpm.inicio,MAX($D17,M$3),_xlpm.fin,MIN($E17,M$4),_xlpm.feriados,IF($H17="CO",FER_CO,FER_EC),_xlpm.dias,IF(_xlpm.inicio&gt;_xlpm.fin,0,NETWORKDAYS(_xlpm.inicio,_xlpm.fin,_xlpm.feriados)),_xlpm.factor,IF($G17="Probable",IF(Parametros!$B$6="Sí",1,0),1),IF(OR($A17="",$D17="",$E17=""),0,_xlpm.dias*$I17*_xlpm.factor))</f>
        <v/>
      </c>
      <c r="N17" s="33">
        <f>_xlfn.LET(_xlpm.inicio,MAX($D17,N$3),_xlpm.fin,MIN($E17,N$4),_xlpm.feriados,IF($H17="CO",FER_CO,FER_EC),_xlpm.dias,IF(_xlpm.inicio&gt;_xlpm.fin,0,NETWORKDAYS(_xlpm.inicio,_xlpm.fin,_xlpm.feriados)),_xlpm.factor,IF($G17="Probable",IF(Parametros!$B$6="Sí",1,0),1),IF(OR($A17="",$D17="",$E17=""),0,_xlpm.dias*$I17*_xlpm.factor))</f>
        <v/>
      </c>
      <c r="O17" s="33">
        <f>_xlfn.LET(_xlpm.inicio,MAX($D17,O$3),_xlpm.fin,MIN($E17,O$4),_xlpm.feriados,IF($H17="CO",FER_CO,FER_EC),_xlpm.dias,IF(_xlpm.inicio&gt;_xlpm.fin,0,NETWORKDAYS(_xlpm.inicio,_xlpm.fin,_xlpm.feriados)),_xlpm.factor,IF($G17="Probable",IF(Parametros!$B$6="Sí",1,0),1),IF(OR($A17="",$D17="",$E17=""),0,_xlpm.dias*$I17*_xlpm.factor))</f>
        <v/>
      </c>
      <c r="P17" s="34">
        <f>_xlfn.LET(_xlpm.horas,J17,_xlpm.feriados,IF($H17="CO",FER_CO,FER_EC),_xlpm.capacidad,NETWORKDAYS(J$3,J$4,_xlpm.feriados)*INDEX(Consultores!$C$6:$C$65,MATCH($A17,Consultores!$A$6:$A$65,0)),IF(_xlpm.horas=0,"",IFERROR(_xlpm.horas/_xlpm.capacidad,"")))</f>
        <v/>
      </c>
      <c r="Q17" s="34">
        <f>_xlfn.LET(_xlpm.horas,K17,_xlpm.feriados,IF($H17="CO",FER_CO,FER_EC),_xlpm.capacidad,NETWORKDAYS(K$3,K$4,_xlpm.feriados)*INDEX(Consultores!$C$6:$C$65,MATCH($A17,Consultores!$A$6:$A$65,0)),IF(_xlpm.horas=0,"",IFERROR(_xlpm.horas/_xlpm.capacidad,"")))</f>
        <v/>
      </c>
      <c r="R17" s="34">
        <f>_xlfn.LET(_xlpm.horas,L17,_xlpm.feriados,IF($H17="CO",FER_CO,FER_EC),_xlpm.capacidad,NETWORKDAYS(L$3,L$4,_xlpm.feriados)*INDEX(Consultores!$C$6:$C$65,MATCH($A17,Consultores!$A$6:$A$65,0)),IF(_xlpm.horas=0,"",IFERROR(_xlpm.horas/_xlpm.capacidad,"")))</f>
        <v/>
      </c>
      <c r="S17" s="34">
        <f>_xlfn.LET(_xlpm.horas,M17,_xlpm.feriados,IF($H17="CO",FER_CO,FER_EC),_xlpm.capacidad,NETWORKDAYS(M$3,M$4,_xlpm.feriados)*INDEX(Consultores!$C$6:$C$65,MATCH($A17,Consultores!$A$6:$A$65,0)),IF(_xlpm.horas=0,"",IFERROR(_xlpm.horas/_xlpm.capacidad,"")))</f>
        <v/>
      </c>
      <c r="T17" s="34">
        <f>_xlfn.LET(_xlpm.horas,N17,_xlpm.feriados,IF($H17="CO",FER_CO,FER_EC),_xlpm.capacidad,NETWORKDAYS(N$3,N$4,_xlpm.feriados)*INDEX(Consultores!$C$6:$C$65,MATCH($A17,Consultores!$A$6:$A$65,0)),IF(_xlpm.horas=0,"",IFERROR(_xlpm.horas/_xlpm.capacidad,"")))</f>
        <v/>
      </c>
      <c r="U17" s="34">
        <f>_xlfn.LET(_xlpm.horas,O17,_xlpm.feriados,IF($H17="CO",FER_CO,FER_EC),_xlpm.capacidad,NETWORKDAYS(O$3,O$4,_xlpm.feriados)*INDEX(Consultores!$C$6:$C$65,MATCH($A17,Consultores!$A$6:$A$65,0)),IF(_xlpm.horas=0,"",IFERROR(_xlpm.horas/_xlpm.capacidad,"")))</f>
        <v/>
      </c>
    </row>
    <row r="18">
      <c r="A18" s="25" t="n"/>
      <c r="B18" s="25" t="n"/>
      <c r="C18" s="25" t="n"/>
      <c r="D18" s="30" t="n"/>
      <c r="E18" s="30" t="n"/>
      <c r="F18" s="26" t="n"/>
      <c r="G18" s="25" t="n"/>
      <c r="H18" s="31">
        <f>IF($A18="","",IFERROR(INDEX(Consultores!$B$6:$B$65,MATCH($A18,Consultores!$A$6:$A$65,0)),"No existe"))</f>
        <v/>
      </c>
      <c r="I18" s="32">
        <f>IF($F18="",0,$F18/5)</f>
        <v/>
      </c>
      <c r="J18" s="33">
        <f>_xlfn.LET(_xlpm.inicio,MAX($D18,J$3),_xlpm.fin,MIN($E18,J$4),_xlpm.feriados,IF($H18="CO",FER_CO,FER_EC),_xlpm.dias,IF(_xlpm.inicio&gt;_xlpm.fin,0,NETWORKDAYS(_xlpm.inicio,_xlpm.fin,_xlpm.feriados)),_xlpm.factor,IF($G18="Probable",IF(Parametros!$B$6="Sí",1,0),1),IF(OR($A18="",$D18="",$E18=""),0,_xlpm.dias*$I18*_xlpm.factor))</f>
        <v/>
      </c>
      <c r="K18" s="33">
        <f>_xlfn.LET(_xlpm.inicio,MAX($D18,K$3),_xlpm.fin,MIN($E18,K$4),_xlpm.feriados,IF($H18="CO",FER_CO,FER_EC),_xlpm.dias,IF(_xlpm.inicio&gt;_xlpm.fin,0,NETWORKDAYS(_xlpm.inicio,_xlpm.fin,_xlpm.feriados)),_xlpm.factor,IF($G18="Probable",IF(Parametros!$B$6="Sí",1,0),1),IF(OR($A18="",$D18="",$E18=""),0,_xlpm.dias*$I18*_xlpm.factor))</f>
        <v/>
      </c>
      <c r="L18" s="33">
        <f>_xlfn.LET(_xlpm.inicio,MAX($D18,L$3),_xlpm.fin,MIN($E18,L$4),_xlpm.feriados,IF($H18="CO",FER_CO,FER_EC),_xlpm.dias,IF(_xlpm.inicio&gt;_xlpm.fin,0,NETWORKDAYS(_xlpm.inicio,_xlpm.fin,_xlpm.feriados)),_xlpm.factor,IF($G18="Probable",IF(Parametros!$B$6="Sí",1,0),1),IF(OR($A18="",$D18="",$E18=""),0,_xlpm.dias*$I18*_xlpm.factor))</f>
        <v/>
      </c>
      <c r="M18" s="33">
        <f>_xlfn.LET(_xlpm.inicio,MAX($D18,M$3),_xlpm.fin,MIN($E18,M$4),_xlpm.feriados,IF($H18="CO",FER_CO,FER_EC),_xlpm.dias,IF(_xlpm.inicio&gt;_xlpm.fin,0,NETWORKDAYS(_xlpm.inicio,_xlpm.fin,_xlpm.feriados)),_xlpm.factor,IF($G18="Probable",IF(Parametros!$B$6="Sí",1,0),1),IF(OR($A18="",$D18="",$E18=""),0,_xlpm.dias*$I18*_xlpm.factor))</f>
        <v/>
      </c>
      <c r="N18" s="33">
        <f>_xlfn.LET(_xlpm.inicio,MAX($D18,N$3),_xlpm.fin,MIN($E18,N$4),_xlpm.feriados,IF($H18="CO",FER_CO,FER_EC),_xlpm.dias,IF(_xlpm.inicio&gt;_xlpm.fin,0,NETWORKDAYS(_xlpm.inicio,_xlpm.fin,_xlpm.feriados)),_xlpm.factor,IF($G18="Probable",IF(Parametros!$B$6="Sí",1,0),1),IF(OR($A18="",$D18="",$E18=""),0,_xlpm.dias*$I18*_xlpm.factor))</f>
        <v/>
      </c>
      <c r="O18" s="33">
        <f>_xlfn.LET(_xlpm.inicio,MAX($D18,O$3),_xlpm.fin,MIN($E18,O$4),_xlpm.feriados,IF($H18="CO",FER_CO,FER_EC),_xlpm.dias,IF(_xlpm.inicio&gt;_xlpm.fin,0,NETWORKDAYS(_xlpm.inicio,_xlpm.fin,_xlpm.feriados)),_xlpm.factor,IF($G18="Probable",IF(Parametros!$B$6="Sí",1,0),1),IF(OR($A18="",$D18="",$E18=""),0,_xlpm.dias*$I18*_xlpm.factor))</f>
        <v/>
      </c>
      <c r="P18" s="34">
        <f>_xlfn.LET(_xlpm.horas,J18,_xlpm.feriados,IF($H18="CO",FER_CO,FER_EC),_xlpm.capacidad,NETWORKDAYS(J$3,J$4,_xlpm.feriados)*INDEX(Consultores!$C$6:$C$65,MATCH($A18,Consultores!$A$6:$A$65,0)),IF(_xlpm.horas=0,"",IFERROR(_xlpm.horas/_xlpm.capacidad,"")))</f>
        <v/>
      </c>
      <c r="Q18" s="34">
        <f>_xlfn.LET(_xlpm.horas,K18,_xlpm.feriados,IF($H18="CO",FER_CO,FER_EC),_xlpm.capacidad,NETWORKDAYS(K$3,K$4,_xlpm.feriados)*INDEX(Consultores!$C$6:$C$65,MATCH($A18,Consultores!$A$6:$A$65,0)),IF(_xlpm.horas=0,"",IFERROR(_xlpm.horas/_xlpm.capacidad,"")))</f>
        <v/>
      </c>
      <c r="R18" s="34">
        <f>_xlfn.LET(_xlpm.horas,L18,_xlpm.feriados,IF($H18="CO",FER_CO,FER_EC),_xlpm.capacidad,NETWORKDAYS(L$3,L$4,_xlpm.feriados)*INDEX(Consultores!$C$6:$C$65,MATCH($A18,Consultores!$A$6:$A$65,0)),IF(_xlpm.horas=0,"",IFERROR(_xlpm.horas/_xlpm.capacidad,"")))</f>
        <v/>
      </c>
      <c r="S18" s="34">
        <f>_xlfn.LET(_xlpm.horas,M18,_xlpm.feriados,IF($H18="CO",FER_CO,FER_EC),_xlpm.capacidad,NETWORKDAYS(M$3,M$4,_xlpm.feriados)*INDEX(Consultores!$C$6:$C$65,MATCH($A18,Consultores!$A$6:$A$65,0)),IF(_xlpm.horas=0,"",IFERROR(_xlpm.horas/_xlpm.capacidad,"")))</f>
        <v/>
      </c>
      <c r="T18" s="34">
        <f>_xlfn.LET(_xlpm.horas,N18,_xlpm.feriados,IF($H18="CO",FER_CO,FER_EC),_xlpm.capacidad,NETWORKDAYS(N$3,N$4,_xlpm.feriados)*INDEX(Consultores!$C$6:$C$65,MATCH($A18,Consultores!$A$6:$A$65,0)),IF(_xlpm.horas=0,"",IFERROR(_xlpm.horas/_xlpm.capacidad,"")))</f>
        <v/>
      </c>
      <c r="U18" s="34">
        <f>_xlfn.LET(_xlpm.horas,O18,_xlpm.feriados,IF($H18="CO",FER_CO,FER_EC),_xlpm.capacidad,NETWORKDAYS(O$3,O$4,_xlpm.feriados)*INDEX(Consultores!$C$6:$C$65,MATCH($A18,Consultores!$A$6:$A$65,0)),IF(_xlpm.horas=0,"",IFERROR(_xlpm.horas/_xlpm.capacidad,"")))</f>
        <v/>
      </c>
    </row>
    <row r="19">
      <c r="A19" s="25" t="n"/>
      <c r="B19" s="25" t="n"/>
      <c r="C19" s="25" t="n"/>
      <c r="D19" s="30" t="n"/>
      <c r="E19" s="30" t="n"/>
      <c r="F19" s="26" t="n"/>
      <c r="G19" s="25" t="n"/>
      <c r="H19" s="31">
        <f>IF($A19="","",IFERROR(INDEX(Consultores!$B$6:$B$65,MATCH($A19,Consultores!$A$6:$A$65,0)),"No existe"))</f>
        <v/>
      </c>
      <c r="I19" s="32">
        <f>IF($F19="",0,$F19/5)</f>
        <v/>
      </c>
      <c r="J19" s="33">
        <f>_xlfn.LET(_xlpm.inicio,MAX($D19,J$3),_xlpm.fin,MIN($E19,J$4),_xlpm.feriados,IF($H19="CO",FER_CO,FER_EC),_xlpm.dias,IF(_xlpm.inicio&gt;_xlpm.fin,0,NETWORKDAYS(_xlpm.inicio,_xlpm.fin,_xlpm.feriados)),_xlpm.factor,IF($G19="Probable",IF(Parametros!$B$6="Sí",1,0),1),IF(OR($A19="",$D19="",$E19=""),0,_xlpm.dias*$I19*_xlpm.factor))</f>
        <v/>
      </c>
      <c r="K19" s="33">
        <f>_xlfn.LET(_xlpm.inicio,MAX($D19,K$3),_xlpm.fin,MIN($E19,K$4),_xlpm.feriados,IF($H19="CO",FER_CO,FER_EC),_xlpm.dias,IF(_xlpm.inicio&gt;_xlpm.fin,0,NETWORKDAYS(_xlpm.inicio,_xlpm.fin,_xlpm.feriados)),_xlpm.factor,IF($G19="Probable",IF(Parametros!$B$6="Sí",1,0),1),IF(OR($A19="",$D19="",$E19=""),0,_xlpm.dias*$I19*_xlpm.factor))</f>
        <v/>
      </c>
      <c r="L19" s="33">
        <f>_xlfn.LET(_xlpm.inicio,MAX($D19,L$3),_xlpm.fin,MIN($E19,L$4),_xlpm.feriados,IF($H19="CO",FER_CO,FER_EC),_xlpm.dias,IF(_xlpm.inicio&gt;_xlpm.fin,0,NETWORKDAYS(_xlpm.inicio,_xlpm.fin,_xlpm.feriados)),_xlpm.factor,IF($G19="Probable",IF(Parametros!$B$6="Sí",1,0),1),IF(OR($A19="",$D19="",$E19=""),0,_xlpm.dias*$I19*_xlpm.factor))</f>
        <v/>
      </c>
      <c r="M19" s="33">
        <f>_xlfn.LET(_xlpm.inicio,MAX($D19,M$3),_xlpm.fin,MIN($E19,M$4),_xlpm.feriados,IF($H19="CO",FER_CO,FER_EC),_xlpm.dias,IF(_xlpm.inicio&gt;_xlpm.fin,0,NETWORKDAYS(_xlpm.inicio,_xlpm.fin,_xlpm.feriados)),_xlpm.factor,IF($G19="Probable",IF(Parametros!$B$6="Sí",1,0),1),IF(OR($A19="",$D19="",$E19=""),0,_xlpm.dias*$I19*_xlpm.factor))</f>
        <v/>
      </c>
      <c r="N19" s="33">
        <f>_xlfn.LET(_xlpm.inicio,MAX($D19,N$3),_xlpm.fin,MIN($E19,N$4),_xlpm.feriados,IF($H19="CO",FER_CO,FER_EC),_xlpm.dias,IF(_xlpm.inicio&gt;_xlpm.fin,0,NETWORKDAYS(_xlpm.inicio,_xlpm.fin,_xlpm.feriados)),_xlpm.factor,IF($G19="Probable",IF(Parametros!$B$6="Sí",1,0),1),IF(OR($A19="",$D19="",$E19=""),0,_xlpm.dias*$I19*_xlpm.factor))</f>
        <v/>
      </c>
      <c r="O19" s="33">
        <f>_xlfn.LET(_xlpm.inicio,MAX($D19,O$3),_xlpm.fin,MIN($E19,O$4),_xlpm.feriados,IF($H19="CO",FER_CO,FER_EC),_xlpm.dias,IF(_xlpm.inicio&gt;_xlpm.fin,0,NETWORKDAYS(_xlpm.inicio,_xlpm.fin,_xlpm.feriados)),_xlpm.factor,IF($G19="Probable",IF(Parametros!$B$6="Sí",1,0),1),IF(OR($A19="",$D19="",$E19=""),0,_xlpm.dias*$I19*_xlpm.factor))</f>
        <v/>
      </c>
      <c r="P19" s="34">
        <f>_xlfn.LET(_xlpm.horas,J19,_xlpm.feriados,IF($H19="CO",FER_CO,FER_EC),_xlpm.capacidad,NETWORKDAYS(J$3,J$4,_xlpm.feriados)*INDEX(Consultores!$C$6:$C$65,MATCH($A19,Consultores!$A$6:$A$65,0)),IF(_xlpm.horas=0,"",IFERROR(_xlpm.horas/_xlpm.capacidad,"")))</f>
        <v/>
      </c>
      <c r="Q19" s="34">
        <f>_xlfn.LET(_xlpm.horas,K19,_xlpm.feriados,IF($H19="CO",FER_CO,FER_EC),_xlpm.capacidad,NETWORKDAYS(K$3,K$4,_xlpm.feriados)*INDEX(Consultores!$C$6:$C$65,MATCH($A19,Consultores!$A$6:$A$65,0)),IF(_xlpm.horas=0,"",IFERROR(_xlpm.horas/_xlpm.capacidad,"")))</f>
        <v/>
      </c>
      <c r="R19" s="34">
        <f>_xlfn.LET(_xlpm.horas,L19,_xlpm.feriados,IF($H19="CO",FER_CO,FER_EC),_xlpm.capacidad,NETWORKDAYS(L$3,L$4,_xlpm.feriados)*INDEX(Consultores!$C$6:$C$65,MATCH($A19,Consultores!$A$6:$A$65,0)),IF(_xlpm.horas=0,"",IFERROR(_xlpm.horas/_xlpm.capacidad,"")))</f>
        <v/>
      </c>
      <c r="S19" s="34">
        <f>_xlfn.LET(_xlpm.horas,M19,_xlpm.feriados,IF($H19="CO",FER_CO,FER_EC),_xlpm.capacidad,NETWORKDAYS(M$3,M$4,_xlpm.feriados)*INDEX(Consultores!$C$6:$C$65,MATCH($A19,Consultores!$A$6:$A$65,0)),IF(_xlpm.horas=0,"",IFERROR(_xlpm.horas/_xlpm.capacidad,"")))</f>
        <v/>
      </c>
      <c r="T19" s="34">
        <f>_xlfn.LET(_xlpm.horas,N19,_xlpm.feriados,IF($H19="CO",FER_CO,FER_EC),_xlpm.capacidad,NETWORKDAYS(N$3,N$4,_xlpm.feriados)*INDEX(Consultores!$C$6:$C$65,MATCH($A19,Consultores!$A$6:$A$65,0)),IF(_xlpm.horas=0,"",IFERROR(_xlpm.horas/_xlpm.capacidad,"")))</f>
        <v/>
      </c>
      <c r="U19" s="34">
        <f>_xlfn.LET(_xlpm.horas,O19,_xlpm.feriados,IF($H19="CO",FER_CO,FER_EC),_xlpm.capacidad,NETWORKDAYS(O$3,O$4,_xlpm.feriados)*INDEX(Consultores!$C$6:$C$65,MATCH($A19,Consultores!$A$6:$A$65,0)),IF(_xlpm.horas=0,"",IFERROR(_xlpm.horas/_xlpm.capacidad,"")))</f>
        <v/>
      </c>
    </row>
    <row r="20">
      <c r="A20" s="25" t="n"/>
      <c r="B20" s="25" t="n"/>
      <c r="C20" s="25" t="n"/>
      <c r="D20" s="30" t="n"/>
      <c r="E20" s="30" t="n"/>
      <c r="F20" s="26" t="n"/>
      <c r="G20" s="25" t="n"/>
      <c r="H20" s="31">
        <f>IF($A20="","",IFERROR(INDEX(Consultores!$B$6:$B$65,MATCH($A20,Consultores!$A$6:$A$65,0)),"No existe"))</f>
        <v/>
      </c>
      <c r="I20" s="32">
        <f>IF($F20="",0,$F20/5)</f>
        <v/>
      </c>
      <c r="J20" s="33">
        <f>_xlfn.LET(_xlpm.inicio,MAX($D20,J$3),_xlpm.fin,MIN($E20,J$4),_xlpm.feriados,IF($H20="CO",FER_CO,FER_EC),_xlpm.dias,IF(_xlpm.inicio&gt;_xlpm.fin,0,NETWORKDAYS(_xlpm.inicio,_xlpm.fin,_xlpm.feriados)),_xlpm.factor,IF($G20="Probable",IF(Parametros!$B$6="Sí",1,0),1),IF(OR($A20="",$D20="",$E20=""),0,_xlpm.dias*$I20*_xlpm.factor))</f>
        <v/>
      </c>
      <c r="K20" s="33">
        <f>_xlfn.LET(_xlpm.inicio,MAX($D20,K$3),_xlpm.fin,MIN($E20,K$4),_xlpm.feriados,IF($H20="CO",FER_CO,FER_EC),_xlpm.dias,IF(_xlpm.inicio&gt;_xlpm.fin,0,NETWORKDAYS(_xlpm.inicio,_xlpm.fin,_xlpm.feriados)),_xlpm.factor,IF($G20="Probable",IF(Parametros!$B$6="Sí",1,0),1),IF(OR($A20="",$D20="",$E20=""),0,_xlpm.dias*$I20*_xlpm.factor))</f>
        <v/>
      </c>
      <c r="L20" s="33">
        <f>_xlfn.LET(_xlpm.inicio,MAX($D20,L$3),_xlpm.fin,MIN($E20,L$4),_xlpm.feriados,IF($H20="CO",FER_CO,FER_EC),_xlpm.dias,IF(_xlpm.inicio&gt;_xlpm.fin,0,NETWORKDAYS(_xlpm.inicio,_xlpm.fin,_xlpm.feriados)),_xlpm.factor,IF($G20="Probable",IF(Parametros!$B$6="Sí",1,0),1),IF(OR($A20="",$D20="",$E20=""),0,_xlpm.dias*$I20*_xlpm.factor))</f>
        <v/>
      </c>
      <c r="M20" s="33">
        <f>_xlfn.LET(_xlpm.inicio,MAX($D20,M$3),_xlpm.fin,MIN($E20,M$4),_xlpm.feriados,IF($H20="CO",FER_CO,FER_EC),_xlpm.dias,IF(_xlpm.inicio&gt;_xlpm.fin,0,NETWORKDAYS(_xlpm.inicio,_xlpm.fin,_xlpm.feriados)),_xlpm.factor,IF($G20="Probable",IF(Parametros!$B$6="Sí",1,0),1),IF(OR($A20="",$D20="",$E20=""),0,_xlpm.dias*$I20*_xlpm.factor))</f>
        <v/>
      </c>
      <c r="N20" s="33">
        <f>_xlfn.LET(_xlpm.inicio,MAX($D20,N$3),_xlpm.fin,MIN($E20,N$4),_xlpm.feriados,IF($H20="CO",FER_CO,FER_EC),_xlpm.dias,IF(_xlpm.inicio&gt;_xlpm.fin,0,NETWORKDAYS(_xlpm.inicio,_xlpm.fin,_xlpm.feriados)),_xlpm.factor,IF($G20="Probable",IF(Parametros!$B$6="Sí",1,0),1),IF(OR($A20="",$D20="",$E20=""),0,_xlpm.dias*$I20*_xlpm.factor))</f>
        <v/>
      </c>
      <c r="O20" s="33">
        <f>_xlfn.LET(_xlpm.inicio,MAX($D20,O$3),_xlpm.fin,MIN($E20,O$4),_xlpm.feriados,IF($H20="CO",FER_CO,FER_EC),_xlpm.dias,IF(_xlpm.inicio&gt;_xlpm.fin,0,NETWORKDAYS(_xlpm.inicio,_xlpm.fin,_xlpm.feriados)),_xlpm.factor,IF($G20="Probable",IF(Parametros!$B$6="Sí",1,0),1),IF(OR($A20="",$D20="",$E20=""),0,_xlpm.dias*$I20*_xlpm.factor))</f>
        <v/>
      </c>
      <c r="P20" s="34">
        <f>_xlfn.LET(_xlpm.horas,J20,_xlpm.feriados,IF($H20="CO",FER_CO,FER_EC),_xlpm.capacidad,NETWORKDAYS(J$3,J$4,_xlpm.feriados)*INDEX(Consultores!$C$6:$C$65,MATCH($A20,Consultores!$A$6:$A$65,0)),IF(_xlpm.horas=0,"",IFERROR(_xlpm.horas/_xlpm.capacidad,"")))</f>
        <v/>
      </c>
      <c r="Q20" s="34">
        <f>_xlfn.LET(_xlpm.horas,K20,_xlpm.feriados,IF($H20="CO",FER_CO,FER_EC),_xlpm.capacidad,NETWORKDAYS(K$3,K$4,_xlpm.feriados)*INDEX(Consultores!$C$6:$C$65,MATCH($A20,Consultores!$A$6:$A$65,0)),IF(_xlpm.horas=0,"",IFERROR(_xlpm.horas/_xlpm.capacidad,"")))</f>
        <v/>
      </c>
      <c r="R20" s="34">
        <f>_xlfn.LET(_xlpm.horas,L20,_xlpm.feriados,IF($H20="CO",FER_CO,FER_EC),_xlpm.capacidad,NETWORKDAYS(L$3,L$4,_xlpm.feriados)*INDEX(Consultores!$C$6:$C$65,MATCH($A20,Consultores!$A$6:$A$65,0)),IF(_xlpm.horas=0,"",IFERROR(_xlpm.horas/_xlpm.capacidad,"")))</f>
        <v/>
      </c>
      <c r="S20" s="34">
        <f>_xlfn.LET(_xlpm.horas,M20,_xlpm.feriados,IF($H20="CO",FER_CO,FER_EC),_xlpm.capacidad,NETWORKDAYS(M$3,M$4,_xlpm.feriados)*INDEX(Consultores!$C$6:$C$65,MATCH($A20,Consultores!$A$6:$A$65,0)),IF(_xlpm.horas=0,"",IFERROR(_xlpm.horas/_xlpm.capacidad,"")))</f>
        <v/>
      </c>
      <c r="T20" s="34">
        <f>_xlfn.LET(_xlpm.horas,N20,_xlpm.feriados,IF($H20="CO",FER_CO,FER_EC),_xlpm.capacidad,NETWORKDAYS(N$3,N$4,_xlpm.feriados)*INDEX(Consultores!$C$6:$C$65,MATCH($A20,Consultores!$A$6:$A$65,0)),IF(_xlpm.horas=0,"",IFERROR(_xlpm.horas/_xlpm.capacidad,"")))</f>
        <v/>
      </c>
      <c r="U20" s="34">
        <f>_xlfn.LET(_xlpm.horas,O20,_xlpm.feriados,IF($H20="CO",FER_CO,FER_EC),_xlpm.capacidad,NETWORKDAYS(O$3,O$4,_xlpm.feriados)*INDEX(Consultores!$C$6:$C$65,MATCH($A20,Consultores!$A$6:$A$65,0)),IF(_xlpm.horas=0,"",IFERROR(_xlpm.horas/_xlpm.capacidad,"")))</f>
        <v/>
      </c>
    </row>
    <row r="21">
      <c r="A21" s="25" t="n"/>
      <c r="B21" s="25" t="n"/>
      <c r="C21" s="25" t="n"/>
      <c r="D21" s="30" t="n"/>
      <c r="E21" s="30" t="n"/>
      <c r="F21" s="26" t="n"/>
      <c r="G21" s="25" t="n"/>
      <c r="H21" s="31">
        <f>IF($A21="","",IFERROR(INDEX(Consultores!$B$6:$B$65,MATCH($A21,Consultores!$A$6:$A$65,0)),"No existe"))</f>
        <v/>
      </c>
      <c r="I21" s="32">
        <f>IF($F21="",0,$F21/5)</f>
        <v/>
      </c>
      <c r="J21" s="33">
        <f>_xlfn.LET(_xlpm.inicio,MAX($D21,J$3),_xlpm.fin,MIN($E21,J$4),_xlpm.feriados,IF($H21="CO",FER_CO,FER_EC),_xlpm.dias,IF(_xlpm.inicio&gt;_xlpm.fin,0,NETWORKDAYS(_xlpm.inicio,_xlpm.fin,_xlpm.feriados)),_xlpm.factor,IF($G21="Probable",IF(Parametros!$B$6="Sí",1,0),1),IF(OR($A21="",$D21="",$E21=""),0,_xlpm.dias*$I21*_xlpm.factor))</f>
        <v/>
      </c>
      <c r="K21" s="33">
        <f>_xlfn.LET(_xlpm.inicio,MAX($D21,K$3),_xlpm.fin,MIN($E21,K$4),_xlpm.feriados,IF($H21="CO",FER_CO,FER_EC),_xlpm.dias,IF(_xlpm.inicio&gt;_xlpm.fin,0,NETWORKDAYS(_xlpm.inicio,_xlpm.fin,_xlpm.feriados)),_xlpm.factor,IF($G21="Probable",IF(Parametros!$B$6="Sí",1,0),1),IF(OR($A21="",$D21="",$E21=""),0,_xlpm.dias*$I21*_xlpm.factor))</f>
        <v/>
      </c>
      <c r="L21" s="33">
        <f>_xlfn.LET(_xlpm.inicio,MAX($D21,L$3),_xlpm.fin,MIN($E21,L$4),_xlpm.feriados,IF($H21="CO",FER_CO,FER_EC),_xlpm.dias,IF(_xlpm.inicio&gt;_xlpm.fin,0,NETWORKDAYS(_xlpm.inicio,_xlpm.fin,_xlpm.feriados)),_xlpm.factor,IF($G21="Probable",IF(Parametros!$B$6="Sí",1,0),1),IF(OR($A21="",$D21="",$E21=""),0,_xlpm.dias*$I21*_xlpm.factor))</f>
        <v/>
      </c>
      <c r="M21" s="33">
        <f>_xlfn.LET(_xlpm.inicio,MAX($D21,M$3),_xlpm.fin,MIN($E21,M$4),_xlpm.feriados,IF($H21="CO",FER_CO,FER_EC),_xlpm.dias,IF(_xlpm.inicio&gt;_xlpm.fin,0,NETWORKDAYS(_xlpm.inicio,_xlpm.fin,_xlpm.feriados)),_xlpm.factor,IF($G21="Probable",IF(Parametros!$B$6="Sí",1,0),1),IF(OR($A21="",$D21="",$E21=""),0,_xlpm.dias*$I21*_xlpm.factor))</f>
        <v/>
      </c>
      <c r="N21" s="33">
        <f>_xlfn.LET(_xlpm.inicio,MAX($D21,N$3),_xlpm.fin,MIN($E21,N$4),_xlpm.feriados,IF($H21="CO",FER_CO,FER_EC),_xlpm.dias,IF(_xlpm.inicio&gt;_xlpm.fin,0,NETWORKDAYS(_xlpm.inicio,_xlpm.fin,_xlpm.feriados)),_xlpm.factor,IF($G21="Probable",IF(Parametros!$B$6="Sí",1,0),1),IF(OR($A21="",$D21="",$E21=""),0,_xlpm.dias*$I21*_xlpm.factor))</f>
        <v/>
      </c>
      <c r="O21" s="33">
        <f>_xlfn.LET(_xlpm.inicio,MAX($D21,O$3),_xlpm.fin,MIN($E21,O$4),_xlpm.feriados,IF($H21="CO",FER_CO,FER_EC),_xlpm.dias,IF(_xlpm.inicio&gt;_xlpm.fin,0,NETWORKDAYS(_xlpm.inicio,_xlpm.fin,_xlpm.feriados)),_xlpm.factor,IF($G21="Probable",IF(Parametros!$B$6="Sí",1,0),1),IF(OR($A21="",$D21="",$E21=""),0,_xlpm.dias*$I21*_xlpm.factor))</f>
        <v/>
      </c>
      <c r="P21" s="34">
        <f>_xlfn.LET(_xlpm.horas,J21,_xlpm.feriados,IF($H21="CO",FER_CO,FER_EC),_xlpm.capacidad,NETWORKDAYS(J$3,J$4,_xlpm.feriados)*INDEX(Consultores!$C$6:$C$65,MATCH($A21,Consultores!$A$6:$A$65,0)),IF(_xlpm.horas=0,"",IFERROR(_xlpm.horas/_xlpm.capacidad,"")))</f>
        <v/>
      </c>
      <c r="Q21" s="34">
        <f>_xlfn.LET(_xlpm.horas,K21,_xlpm.feriados,IF($H21="CO",FER_CO,FER_EC),_xlpm.capacidad,NETWORKDAYS(K$3,K$4,_xlpm.feriados)*INDEX(Consultores!$C$6:$C$65,MATCH($A21,Consultores!$A$6:$A$65,0)),IF(_xlpm.horas=0,"",IFERROR(_xlpm.horas/_xlpm.capacidad,"")))</f>
        <v/>
      </c>
      <c r="R21" s="34">
        <f>_xlfn.LET(_xlpm.horas,L21,_xlpm.feriados,IF($H21="CO",FER_CO,FER_EC),_xlpm.capacidad,NETWORKDAYS(L$3,L$4,_xlpm.feriados)*INDEX(Consultores!$C$6:$C$65,MATCH($A21,Consultores!$A$6:$A$65,0)),IF(_xlpm.horas=0,"",IFERROR(_xlpm.horas/_xlpm.capacidad,"")))</f>
        <v/>
      </c>
      <c r="S21" s="34">
        <f>_xlfn.LET(_xlpm.horas,M21,_xlpm.feriados,IF($H21="CO",FER_CO,FER_EC),_xlpm.capacidad,NETWORKDAYS(M$3,M$4,_xlpm.feriados)*INDEX(Consultores!$C$6:$C$65,MATCH($A21,Consultores!$A$6:$A$65,0)),IF(_xlpm.horas=0,"",IFERROR(_xlpm.horas/_xlpm.capacidad,"")))</f>
        <v/>
      </c>
      <c r="T21" s="34">
        <f>_xlfn.LET(_xlpm.horas,N21,_xlpm.feriados,IF($H21="CO",FER_CO,FER_EC),_xlpm.capacidad,NETWORKDAYS(N$3,N$4,_xlpm.feriados)*INDEX(Consultores!$C$6:$C$65,MATCH($A21,Consultores!$A$6:$A$65,0)),IF(_xlpm.horas=0,"",IFERROR(_xlpm.horas/_xlpm.capacidad,"")))</f>
        <v/>
      </c>
      <c r="U21" s="34">
        <f>_xlfn.LET(_xlpm.horas,O21,_xlpm.feriados,IF($H21="CO",FER_CO,FER_EC),_xlpm.capacidad,NETWORKDAYS(O$3,O$4,_xlpm.feriados)*INDEX(Consultores!$C$6:$C$65,MATCH($A21,Consultores!$A$6:$A$65,0)),IF(_xlpm.horas=0,"",IFERROR(_xlpm.horas/_xlpm.capacidad,"")))</f>
        <v/>
      </c>
    </row>
    <row r="22">
      <c r="A22" s="25" t="n"/>
      <c r="B22" s="25" t="n"/>
      <c r="C22" s="25" t="n"/>
      <c r="D22" s="30" t="n"/>
      <c r="E22" s="30" t="n"/>
      <c r="F22" s="26" t="n"/>
      <c r="G22" s="25" t="n"/>
      <c r="H22" s="31">
        <f>IF($A22="","",IFERROR(INDEX(Consultores!$B$6:$B$65,MATCH($A22,Consultores!$A$6:$A$65,0)),"No existe"))</f>
        <v/>
      </c>
      <c r="I22" s="32">
        <f>IF($F22="",0,$F22/5)</f>
        <v/>
      </c>
      <c r="J22" s="33">
        <f>_xlfn.LET(_xlpm.inicio,MAX($D22,J$3),_xlpm.fin,MIN($E22,J$4),_xlpm.feriados,IF($H22="CO",FER_CO,FER_EC),_xlpm.dias,IF(_xlpm.inicio&gt;_xlpm.fin,0,NETWORKDAYS(_xlpm.inicio,_xlpm.fin,_xlpm.feriados)),_xlpm.factor,IF($G22="Probable",IF(Parametros!$B$6="Sí",1,0),1),IF(OR($A22="",$D22="",$E22=""),0,_xlpm.dias*$I22*_xlpm.factor))</f>
        <v/>
      </c>
      <c r="K22" s="33">
        <f>_xlfn.LET(_xlpm.inicio,MAX($D22,K$3),_xlpm.fin,MIN($E22,K$4),_xlpm.feriados,IF($H22="CO",FER_CO,FER_EC),_xlpm.dias,IF(_xlpm.inicio&gt;_xlpm.fin,0,NETWORKDAYS(_xlpm.inicio,_xlpm.fin,_xlpm.feriados)),_xlpm.factor,IF($G22="Probable",IF(Parametros!$B$6="Sí",1,0),1),IF(OR($A22="",$D22="",$E22=""),0,_xlpm.dias*$I22*_xlpm.factor))</f>
        <v/>
      </c>
      <c r="L22" s="33">
        <f>_xlfn.LET(_xlpm.inicio,MAX($D22,L$3),_xlpm.fin,MIN($E22,L$4),_xlpm.feriados,IF($H22="CO",FER_CO,FER_EC),_xlpm.dias,IF(_xlpm.inicio&gt;_xlpm.fin,0,NETWORKDAYS(_xlpm.inicio,_xlpm.fin,_xlpm.feriados)),_xlpm.factor,IF($G22="Probable",IF(Parametros!$B$6="Sí",1,0),1),IF(OR($A22="",$D22="",$E22=""),0,_xlpm.dias*$I22*_xlpm.factor))</f>
        <v/>
      </c>
      <c r="M22" s="33">
        <f>_xlfn.LET(_xlpm.inicio,MAX($D22,M$3),_xlpm.fin,MIN($E22,M$4),_xlpm.feriados,IF($H22="CO",FER_CO,FER_EC),_xlpm.dias,IF(_xlpm.inicio&gt;_xlpm.fin,0,NETWORKDAYS(_xlpm.inicio,_xlpm.fin,_xlpm.feriados)),_xlpm.factor,IF($G22="Probable",IF(Parametros!$B$6="Sí",1,0),1),IF(OR($A22="",$D22="",$E22=""),0,_xlpm.dias*$I22*_xlpm.factor))</f>
        <v/>
      </c>
      <c r="N22" s="33">
        <f>_xlfn.LET(_xlpm.inicio,MAX($D22,N$3),_xlpm.fin,MIN($E22,N$4),_xlpm.feriados,IF($H22="CO",FER_CO,FER_EC),_xlpm.dias,IF(_xlpm.inicio&gt;_xlpm.fin,0,NETWORKDAYS(_xlpm.inicio,_xlpm.fin,_xlpm.feriados)),_xlpm.factor,IF($G22="Probable",IF(Parametros!$B$6="Sí",1,0),1),IF(OR($A22="",$D22="",$E22=""),0,_xlpm.dias*$I22*_xlpm.factor))</f>
        <v/>
      </c>
      <c r="O22" s="33">
        <f>_xlfn.LET(_xlpm.inicio,MAX($D22,O$3),_xlpm.fin,MIN($E22,O$4),_xlpm.feriados,IF($H22="CO",FER_CO,FER_EC),_xlpm.dias,IF(_xlpm.inicio&gt;_xlpm.fin,0,NETWORKDAYS(_xlpm.inicio,_xlpm.fin,_xlpm.feriados)),_xlpm.factor,IF($G22="Probable",IF(Parametros!$B$6="Sí",1,0),1),IF(OR($A22="",$D22="",$E22=""),0,_xlpm.dias*$I22*_xlpm.factor))</f>
        <v/>
      </c>
      <c r="P22" s="34">
        <f>_xlfn.LET(_xlpm.horas,J22,_xlpm.feriados,IF($H22="CO",FER_CO,FER_EC),_xlpm.capacidad,NETWORKDAYS(J$3,J$4,_xlpm.feriados)*INDEX(Consultores!$C$6:$C$65,MATCH($A22,Consultores!$A$6:$A$65,0)),IF(_xlpm.horas=0,"",IFERROR(_xlpm.horas/_xlpm.capacidad,"")))</f>
        <v/>
      </c>
      <c r="Q22" s="34">
        <f>_xlfn.LET(_xlpm.horas,K22,_xlpm.feriados,IF($H22="CO",FER_CO,FER_EC),_xlpm.capacidad,NETWORKDAYS(K$3,K$4,_xlpm.feriados)*INDEX(Consultores!$C$6:$C$65,MATCH($A22,Consultores!$A$6:$A$65,0)),IF(_xlpm.horas=0,"",IFERROR(_xlpm.horas/_xlpm.capacidad,"")))</f>
        <v/>
      </c>
      <c r="R22" s="34">
        <f>_xlfn.LET(_xlpm.horas,L22,_xlpm.feriados,IF($H22="CO",FER_CO,FER_EC),_xlpm.capacidad,NETWORKDAYS(L$3,L$4,_xlpm.feriados)*INDEX(Consultores!$C$6:$C$65,MATCH($A22,Consultores!$A$6:$A$65,0)),IF(_xlpm.horas=0,"",IFERROR(_xlpm.horas/_xlpm.capacidad,"")))</f>
        <v/>
      </c>
      <c r="S22" s="34">
        <f>_xlfn.LET(_xlpm.horas,M22,_xlpm.feriados,IF($H22="CO",FER_CO,FER_EC),_xlpm.capacidad,NETWORKDAYS(M$3,M$4,_xlpm.feriados)*INDEX(Consultores!$C$6:$C$65,MATCH($A22,Consultores!$A$6:$A$65,0)),IF(_xlpm.horas=0,"",IFERROR(_xlpm.horas/_xlpm.capacidad,"")))</f>
        <v/>
      </c>
      <c r="T22" s="34">
        <f>_xlfn.LET(_xlpm.horas,N22,_xlpm.feriados,IF($H22="CO",FER_CO,FER_EC),_xlpm.capacidad,NETWORKDAYS(N$3,N$4,_xlpm.feriados)*INDEX(Consultores!$C$6:$C$65,MATCH($A22,Consultores!$A$6:$A$65,0)),IF(_xlpm.horas=0,"",IFERROR(_xlpm.horas/_xlpm.capacidad,"")))</f>
        <v/>
      </c>
      <c r="U22" s="34">
        <f>_xlfn.LET(_xlpm.horas,O22,_xlpm.feriados,IF($H22="CO",FER_CO,FER_EC),_xlpm.capacidad,NETWORKDAYS(O$3,O$4,_xlpm.feriados)*INDEX(Consultores!$C$6:$C$65,MATCH($A22,Consultores!$A$6:$A$65,0)),IF(_xlpm.horas=0,"",IFERROR(_xlpm.horas/_xlpm.capacidad,"")))</f>
        <v/>
      </c>
    </row>
    <row r="23">
      <c r="A23" s="25" t="n"/>
      <c r="B23" s="25" t="n"/>
      <c r="C23" s="25" t="n"/>
      <c r="D23" s="30" t="n"/>
      <c r="E23" s="30" t="n"/>
      <c r="F23" s="26" t="n"/>
      <c r="G23" s="25" t="n"/>
      <c r="H23" s="31">
        <f>IF($A23="","",IFERROR(INDEX(Consultores!$B$6:$B$65,MATCH($A23,Consultores!$A$6:$A$65,0)),"No existe"))</f>
        <v/>
      </c>
      <c r="I23" s="32">
        <f>IF($F23="",0,$F23/5)</f>
        <v/>
      </c>
      <c r="J23" s="33">
        <f>_xlfn.LET(_xlpm.inicio,MAX($D23,J$3),_xlpm.fin,MIN($E23,J$4),_xlpm.feriados,IF($H23="CO",FER_CO,FER_EC),_xlpm.dias,IF(_xlpm.inicio&gt;_xlpm.fin,0,NETWORKDAYS(_xlpm.inicio,_xlpm.fin,_xlpm.feriados)),_xlpm.factor,IF($G23="Probable",IF(Parametros!$B$6="Sí",1,0),1),IF(OR($A23="",$D23="",$E23=""),0,_xlpm.dias*$I23*_xlpm.factor))</f>
        <v/>
      </c>
      <c r="K23" s="33">
        <f>_xlfn.LET(_xlpm.inicio,MAX($D23,K$3),_xlpm.fin,MIN($E23,K$4),_xlpm.feriados,IF($H23="CO",FER_CO,FER_EC),_xlpm.dias,IF(_xlpm.inicio&gt;_xlpm.fin,0,NETWORKDAYS(_xlpm.inicio,_xlpm.fin,_xlpm.feriados)),_xlpm.factor,IF($G23="Probable",IF(Parametros!$B$6="Sí",1,0),1),IF(OR($A23="",$D23="",$E23=""),0,_xlpm.dias*$I23*_xlpm.factor))</f>
        <v/>
      </c>
      <c r="L23" s="33">
        <f>_xlfn.LET(_xlpm.inicio,MAX($D23,L$3),_xlpm.fin,MIN($E23,L$4),_xlpm.feriados,IF($H23="CO",FER_CO,FER_EC),_xlpm.dias,IF(_xlpm.inicio&gt;_xlpm.fin,0,NETWORKDAYS(_xlpm.inicio,_xlpm.fin,_xlpm.feriados)),_xlpm.factor,IF($G23="Probable",IF(Parametros!$B$6="Sí",1,0),1),IF(OR($A23="",$D23="",$E23=""),0,_xlpm.dias*$I23*_xlpm.factor))</f>
        <v/>
      </c>
      <c r="M23" s="33">
        <f>_xlfn.LET(_xlpm.inicio,MAX($D23,M$3),_xlpm.fin,MIN($E23,M$4),_xlpm.feriados,IF($H23="CO",FER_CO,FER_EC),_xlpm.dias,IF(_xlpm.inicio&gt;_xlpm.fin,0,NETWORKDAYS(_xlpm.inicio,_xlpm.fin,_xlpm.feriados)),_xlpm.factor,IF($G23="Probable",IF(Parametros!$B$6="Sí",1,0),1),IF(OR($A23="",$D23="",$E23=""),0,_xlpm.dias*$I23*_xlpm.factor))</f>
        <v/>
      </c>
      <c r="N23" s="33">
        <f>_xlfn.LET(_xlpm.inicio,MAX($D23,N$3),_xlpm.fin,MIN($E23,N$4),_xlpm.feriados,IF($H23="CO",FER_CO,FER_EC),_xlpm.dias,IF(_xlpm.inicio&gt;_xlpm.fin,0,NETWORKDAYS(_xlpm.inicio,_xlpm.fin,_xlpm.feriados)),_xlpm.factor,IF($G23="Probable",IF(Parametros!$B$6="Sí",1,0),1),IF(OR($A23="",$D23="",$E23=""),0,_xlpm.dias*$I23*_xlpm.factor))</f>
        <v/>
      </c>
      <c r="O23" s="33">
        <f>_xlfn.LET(_xlpm.inicio,MAX($D23,O$3),_xlpm.fin,MIN($E23,O$4),_xlpm.feriados,IF($H23="CO",FER_CO,FER_EC),_xlpm.dias,IF(_xlpm.inicio&gt;_xlpm.fin,0,NETWORKDAYS(_xlpm.inicio,_xlpm.fin,_xlpm.feriados)),_xlpm.factor,IF($G23="Probable",IF(Parametros!$B$6="Sí",1,0),1),IF(OR($A23="",$D23="",$E23=""),0,_xlpm.dias*$I23*_xlpm.factor))</f>
        <v/>
      </c>
      <c r="P23" s="34">
        <f>_xlfn.LET(_xlpm.horas,J23,_xlpm.feriados,IF($H23="CO",FER_CO,FER_EC),_xlpm.capacidad,NETWORKDAYS(J$3,J$4,_xlpm.feriados)*INDEX(Consultores!$C$6:$C$65,MATCH($A23,Consultores!$A$6:$A$65,0)),IF(_xlpm.horas=0,"",IFERROR(_xlpm.horas/_xlpm.capacidad,"")))</f>
        <v/>
      </c>
      <c r="Q23" s="34">
        <f>_xlfn.LET(_xlpm.horas,K23,_xlpm.feriados,IF($H23="CO",FER_CO,FER_EC),_xlpm.capacidad,NETWORKDAYS(K$3,K$4,_xlpm.feriados)*INDEX(Consultores!$C$6:$C$65,MATCH($A23,Consultores!$A$6:$A$65,0)),IF(_xlpm.horas=0,"",IFERROR(_xlpm.horas/_xlpm.capacidad,"")))</f>
        <v/>
      </c>
      <c r="R23" s="34">
        <f>_xlfn.LET(_xlpm.horas,L23,_xlpm.feriados,IF($H23="CO",FER_CO,FER_EC),_xlpm.capacidad,NETWORKDAYS(L$3,L$4,_xlpm.feriados)*INDEX(Consultores!$C$6:$C$65,MATCH($A23,Consultores!$A$6:$A$65,0)),IF(_xlpm.horas=0,"",IFERROR(_xlpm.horas/_xlpm.capacidad,"")))</f>
        <v/>
      </c>
      <c r="S23" s="34">
        <f>_xlfn.LET(_xlpm.horas,M23,_xlpm.feriados,IF($H23="CO",FER_CO,FER_EC),_xlpm.capacidad,NETWORKDAYS(M$3,M$4,_xlpm.feriados)*INDEX(Consultores!$C$6:$C$65,MATCH($A23,Consultores!$A$6:$A$65,0)),IF(_xlpm.horas=0,"",IFERROR(_xlpm.horas/_xlpm.capacidad,"")))</f>
        <v/>
      </c>
      <c r="T23" s="34">
        <f>_xlfn.LET(_xlpm.horas,N23,_xlpm.feriados,IF($H23="CO",FER_CO,FER_EC),_xlpm.capacidad,NETWORKDAYS(N$3,N$4,_xlpm.feriados)*INDEX(Consultores!$C$6:$C$65,MATCH($A23,Consultores!$A$6:$A$65,0)),IF(_xlpm.horas=0,"",IFERROR(_xlpm.horas/_xlpm.capacidad,"")))</f>
        <v/>
      </c>
      <c r="U23" s="34">
        <f>_xlfn.LET(_xlpm.horas,O23,_xlpm.feriados,IF($H23="CO",FER_CO,FER_EC),_xlpm.capacidad,NETWORKDAYS(O$3,O$4,_xlpm.feriados)*INDEX(Consultores!$C$6:$C$65,MATCH($A23,Consultores!$A$6:$A$65,0)),IF(_xlpm.horas=0,"",IFERROR(_xlpm.horas/_xlpm.capacidad,"")))</f>
        <v/>
      </c>
    </row>
    <row r="24">
      <c r="A24" s="25" t="n"/>
      <c r="B24" s="25" t="n"/>
      <c r="C24" s="25" t="n"/>
      <c r="D24" s="30" t="n"/>
      <c r="E24" s="30" t="n"/>
      <c r="F24" s="26" t="n"/>
      <c r="G24" s="25" t="n"/>
      <c r="H24" s="31">
        <f>IF($A24="","",IFERROR(INDEX(Consultores!$B$6:$B$65,MATCH($A24,Consultores!$A$6:$A$65,0)),"No existe"))</f>
        <v/>
      </c>
      <c r="I24" s="32">
        <f>IF($F24="",0,$F24/5)</f>
        <v/>
      </c>
      <c r="J24" s="33">
        <f>_xlfn.LET(_xlpm.inicio,MAX($D24,J$3),_xlpm.fin,MIN($E24,J$4),_xlpm.feriados,IF($H24="CO",FER_CO,FER_EC),_xlpm.dias,IF(_xlpm.inicio&gt;_xlpm.fin,0,NETWORKDAYS(_xlpm.inicio,_xlpm.fin,_xlpm.feriados)),_xlpm.factor,IF($G24="Probable",IF(Parametros!$B$6="Sí",1,0),1),IF(OR($A24="",$D24="",$E24=""),0,_xlpm.dias*$I24*_xlpm.factor))</f>
        <v/>
      </c>
      <c r="K24" s="33">
        <f>_xlfn.LET(_xlpm.inicio,MAX($D24,K$3),_xlpm.fin,MIN($E24,K$4),_xlpm.feriados,IF($H24="CO",FER_CO,FER_EC),_xlpm.dias,IF(_xlpm.inicio&gt;_xlpm.fin,0,NETWORKDAYS(_xlpm.inicio,_xlpm.fin,_xlpm.feriados)),_xlpm.factor,IF($G24="Probable",IF(Parametros!$B$6="Sí",1,0),1),IF(OR($A24="",$D24="",$E24=""),0,_xlpm.dias*$I24*_xlpm.factor))</f>
        <v/>
      </c>
      <c r="L24" s="33">
        <f>_xlfn.LET(_xlpm.inicio,MAX($D24,L$3),_xlpm.fin,MIN($E24,L$4),_xlpm.feriados,IF($H24="CO",FER_CO,FER_EC),_xlpm.dias,IF(_xlpm.inicio&gt;_xlpm.fin,0,NETWORKDAYS(_xlpm.inicio,_xlpm.fin,_xlpm.feriados)),_xlpm.factor,IF($G24="Probable",IF(Parametros!$B$6="Sí",1,0),1),IF(OR($A24="",$D24="",$E24=""),0,_xlpm.dias*$I24*_xlpm.factor))</f>
        <v/>
      </c>
      <c r="M24" s="33">
        <f>_xlfn.LET(_xlpm.inicio,MAX($D24,M$3),_xlpm.fin,MIN($E24,M$4),_xlpm.feriados,IF($H24="CO",FER_CO,FER_EC),_xlpm.dias,IF(_xlpm.inicio&gt;_xlpm.fin,0,NETWORKDAYS(_xlpm.inicio,_xlpm.fin,_xlpm.feriados)),_xlpm.factor,IF($G24="Probable",IF(Parametros!$B$6="Sí",1,0),1),IF(OR($A24="",$D24="",$E24=""),0,_xlpm.dias*$I24*_xlpm.factor))</f>
        <v/>
      </c>
      <c r="N24" s="33">
        <f>_xlfn.LET(_xlpm.inicio,MAX($D24,N$3),_xlpm.fin,MIN($E24,N$4),_xlpm.feriados,IF($H24="CO",FER_CO,FER_EC),_xlpm.dias,IF(_xlpm.inicio&gt;_xlpm.fin,0,NETWORKDAYS(_xlpm.inicio,_xlpm.fin,_xlpm.feriados)),_xlpm.factor,IF($G24="Probable",IF(Parametros!$B$6="Sí",1,0),1),IF(OR($A24="",$D24="",$E24=""),0,_xlpm.dias*$I24*_xlpm.factor))</f>
        <v/>
      </c>
      <c r="O24" s="33">
        <f>_xlfn.LET(_xlpm.inicio,MAX($D24,O$3),_xlpm.fin,MIN($E24,O$4),_xlpm.feriados,IF($H24="CO",FER_CO,FER_EC),_xlpm.dias,IF(_xlpm.inicio&gt;_xlpm.fin,0,NETWORKDAYS(_xlpm.inicio,_xlpm.fin,_xlpm.feriados)),_xlpm.factor,IF($G24="Probable",IF(Parametros!$B$6="Sí",1,0),1),IF(OR($A24="",$D24="",$E24=""),0,_xlpm.dias*$I24*_xlpm.factor))</f>
        <v/>
      </c>
      <c r="P24" s="34">
        <f>_xlfn.LET(_xlpm.horas,J24,_xlpm.feriados,IF($H24="CO",FER_CO,FER_EC),_xlpm.capacidad,NETWORKDAYS(J$3,J$4,_xlpm.feriados)*INDEX(Consultores!$C$6:$C$65,MATCH($A24,Consultores!$A$6:$A$65,0)),IF(_xlpm.horas=0,"",IFERROR(_xlpm.horas/_xlpm.capacidad,"")))</f>
        <v/>
      </c>
      <c r="Q24" s="34">
        <f>_xlfn.LET(_xlpm.horas,K24,_xlpm.feriados,IF($H24="CO",FER_CO,FER_EC),_xlpm.capacidad,NETWORKDAYS(K$3,K$4,_xlpm.feriados)*INDEX(Consultores!$C$6:$C$65,MATCH($A24,Consultores!$A$6:$A$65,0)),IF(_xlpm.horas=0,"",IFERROR(_xlpm.horas/_xlpm.capacidad,"")))</f>
        <v/>
      </c>
      <c r="R24" s="34">
        <f>_xlfn.LET(_xlpm.horas,L24,_xlpm.feriados,IF($H24="CO",FER_CO,FER_EC),_xlpm.capacidad,NETWORKDAYS(L$3,L$4,_xlpm.feriados)*INDEX(Consultores!$C$6:$C$65,MATCH($A24,Consultores!$A$6:$A$65,0)),IF(_xlpm.horas=0,"",IFERROR(_xlpm.horas/_xlpm.capacidad,"")))</f>
        <v/>
      </c>
      <c r="S24" s="34">
        <f>_xlfn.LET(_xlpm.horas,M24,_xlpm.feriados,IF($H24="CO",FER_CO,FER_EC),_xlpm.capacidad,NETWORKDAYS(M$3,M$4,_xlpm.feriados)*INDEX(Consultores!$C$6:$C$65,MATCH($A24,Consultores!$A$6:$A$65,0)),IF(_xlpm.horas=0,"",IFERROR(_xlpm.horas/_xlpm.capacidad,"")))</f>
        <v/>
      </c>
      <c r="T24" s="34">
        <f>_xlfn.LET(_xlpm.horas,N24,_xlpm.feriados,IF($H24="CO",FER_CO,FER_EC),_xlpm.capacidad,NETWORKDAYS(N$3,N$4,_xlpm.feriados)*INDEX(Consultores!$C$6:$C$65,MATCH($A24,Consultores!$A$6:$A$65,0)),IF(_xlpm.horas=0,"",IFERROR(_xlpm.horas/_xlpm.capacidad,"")))</f>
        <v/>
      </c>
      <c r="U24" s="34">
        <f>_xlfn.LET(_xlpm.horas,O24,_xlpm.feriados,IF($H24="CO",FER_CO,FER_EC),_xlpm.capacidad,NETWORKDAYS(O$3,O$4,_xlpm.feriados)*INDEX(Consultores!$C$6:$C$65,MATCH($A24,Consultores!$A$6:$A$65,0)),IF(_xlpm.horas=0,"",IFERROR(_xlpm.horas/_xlpm.capacidad,"")))</f>
        <v/>
      </c>
    </row>
    <row r="25">
      <c r="A25" s="25" t="n"/>
      <c r="B25" s="25" t="n"/>
      <c r="C25" s="25" t="n"/>
      <c r="D25" s="30" t="n"/>
      <c r="E25" s="30" t="n"/>
      <c r="F25" s="26" t="n"/>
      <c r="G25" s="25" t="n"/>
      <c r="H25" s="31">
        <f>IF($A25="","",IFERROR(INDEX(Consultores!$B$6:$B$65,MATCH($A25,Consultores!$A$6:$A$65,0)),"No existe"))</f>
        <v/>
      </c>
      <c r="I25" s="32">
        <f>IF($F25="",0,$F25/5)</f>
        <v/>
      </c>
      <c r="J25" s="33">
        <f>_xlfn.LET(_xlpm.inicio,MAX($D25,J$3),_xlpm.fin,MIN($E25,J$4),_xlpm.feriados,IF($H25="CO",FER_CO,FER_EC),_xlpm.dias,IF(_xlpm.inicio&gt;_xlpm.fin,0,NETWORKDAYS(_xlpm.inicio,_xlpm.fin,_xlpm.feriados)),_xlpm.factor,IF($G25="Probable",IF(Parametros!$B$6="Sí",1,0),1),IF(OR($A25="",$D25="",$E25=""),0,_xlpm.dias*$I25*_xlpm.factor))</f>
        <v/>
      </c>
      <c r="K25" s="33">
        <f>_xlfn.LET(_xlpm.inicio,MAX($D25,K$3),_xlpm.fin,MIN($E25,K$4),_xlpm.feriados,IF($H25="CO",FER_CO,FER_EC),_xlpm.dias,IF(_xlpm.inicio&gt;_xlpm.fin,0,NETWORKDAYS(_xlpm.inicio,_xlpm.fin,_xlpm.feriados)),_xlpm.factor,IF($G25="Probable",IF(Parametros!$B$6="Sí",1,0),1),IF(OR($A25="",$D25="",$E25=""),0,_xlpm.dias*$I25*_xlpm.factor))</f>
        <v/>
      </c>
      <c r="L25" s="33">
        <f>_xlfn.LET(_xlpm.inicio,MAX($D25,L$3),_xlpm.fin,MIN($E25,L$4),_xlpm.feriados,IF($H25="CO",FER_CO,FER_EC),_xlpm.dias,IF(_xlpm.inicio&gt;_xlpm.fin,0,NETWORKDAYS(_xlpm.inicio,_xlpm.fin,_xlpm.feriados)),_xlpm.factor,IF($G25="Probable",IF(Parametros!$B$6="Sí",1,0),1),IF(OR($A25="",$D25="",$E25=""),0,_xlpm.dias*$I25*_xlpm.factor))</f>
        <v/>
      </c>
      <c r="M25" s="33">
        <f>_xlfn.LET(_xlpm.inicio,MAX($D25,M$3),_xlpm.fin,MIN($E25,M$4),_xlpm.feriados,IF($H25="CO",FER_CO,FER_EC),_xlpm.dias,IF(_xlpm.inicio&gt;_xlpm.fin,0,NETWORKDAYS(_xlpm.inicio,_xlpm.fin,_xlpm.feriados)),_xlpm.factor,IF($G25="Probable",IF(Parametros!$B$6="Sí",1,0),1),IF(OR($A25="",$D25="",$E25=""),0,_xlpm.dias*$I25*_xlpm.factor))</f>
        <v/>
      </c>
      <c r="N25" s="33">
        <f>_xlfn.LET(_xlpm.inicio,MAX($D25,N$3),_xlpm.fin,MIN($E25,N$4),_xlpm.feriados,IF($H25="CO",FER_CO,FER_EC),_xlpm.dias,IF(_xlpm.inicio&gt;_xlpm.fin,0,NETWORKDAYS(_xlpm.inicio,_xlpm.fin,_xlpm.feriados)),_xlpm.factor,IF($G25="Probable",IF(Parametros!$B$6="Sí",1,0),1),IF(OR($A25="",$D25="",$E25=""),0,_xlpm.dias*$I25*_xlpm.factor))</f>
        <v/>
      </c>
      <c r="O25" s="33">
        <f>_xlfn.LET(_xlpm.inicio,MAX($D25,O$3),_xlpm.fin,MIN($E25,O$4),_xlpm.feriados,IF($H25="CO",FER_CO,FER_EC),_xlpm.dias,IF(_xlpm.inicio&gt;_xlpm.fin,0,NETWORKDAYS(_xlpm.inicio,_xlpm.fin,_xlpm.feriados)),_xlpm.factor,IF($G25="Probable",IF(Parametros!$B$6="Sí",1,0),1),IF(OR($A25="",$D25="",$E25=""),0,_xlpm.dias*$I25*_xlpm.factor))</f>
        <v/>
      </c>
      <c r="P25" s="34">
        <f>_xlfn.LET(_xlpm.horas,J25,_xlpm.feriados,IF($H25="CO",FER_CO,FER_EC),_xlpm.capacidad,NETWORKDAYS(J$3,J$4,_xlpm.feriados)*INDEX(Consultores!$C$6:$C$65,MATCH($A25,Consultores!$A$6:$A$65,0)),IF(_xlpm.horas=0,"",IFERROR(_xlpm.horas/_xlpm.capacidad,"")))</f>
        <v/>
      </c>
      <c r="Q25" s="34">
        <f>_xlfn.LET(_xlpm.horas,K25,_xlpm.feriados,IF($H25="CO",FER_CO,FER_EC),_xlpm.capacidad,NETWORKDAYS(K$3,K$4,_xlpm.feriados)*INDEX(Consultores!$C$6:$C$65,MATCH($A25,Consultores!$A$6:$A$65,0)),IF(_xlpm.horas=0,"",IFERROR(_xlpm.horas/_xlpm.capacidad,"")))</f>
        <v/>
      </c>
      <c r="R25" s="34">
        <f>_xlfn.LET(_xlpm.horas,L25,_xlpm.feriados,IF($H25="CO",FER_CO,FER_EC),_xlpm.capacidad,NETWORKDAYS(L$3,L$4,_xlpm.feriados)*INDEX(Consultores!$C$6:$C$65,MATCH($A25,Consultores!$A$6:$A$65,0)),IF(_xlpm.horas=0,"",IFERROR(_xlpm.horas/_xlpm.capacidad,"")))</f>
        <v/>
      </c>
      <c r="S25" s="34">
        <f>_xlfn.LET(_xlpm.horas,M25,_xlpm.feriados,IF($H25="CO",FER_CO,FER_EC),_xlpm.capacidad,NETWORKDAYS(M$3,M$4,_xlpm.feriados)*INDEX(Consultores!$C$6:$C$65,MATCH($A25,Consultores!$A$6:$A$65,0)),IF(_xlpm.horas=0,"",IFERROR(_xlpm.horas/_xlpm.capacidad,"")))</f>
        <v/>
      </c>
      <c r="T25" s="34">
        <f>_xlfn.LET(_xlpm.horas,N25,_xlpm.feriados,IF($H25="CO",FER_CO,FER_EC),_xlpm.capacidad,NETWORKDAYS(N$3,N$4,_xlpm.feriados)*INDEX(Consultores!$C$6:$C$65,MATCH($A25,Consultores!$A$6:$A$65,0)),IF(_xlpm.horas=0,"",IFERROR(_xlpm.horas/_xlpm.capacidad,"")))</f>
        <v/>
      </c>
      <c r="U25" s="34">
        <f>_xlfn.LET(_xlpm.horas,O25,_xlpm.feriados,IF($H25="CO",FER_CO,FER_EC),_xlpm.capacidad,NETWORKDAYS(O$3,O$4,_xlpm.feriados)*INDEX(Consultores!$C$6:$C$65,MATCH($A25,Consultores!$A$6:$A$65,0)),IF(_xlpm.horas=0,"",IFERROR(_xlpm.horas/_xlpm.capacidad,"")))</f>
        <v/>
      </c>
    </row>
    <row r="26">
      <c r="A26" s="25" t="n"/>
      <c r="B26" s="25" t="n"/>
      <c r="C26" s="25" t="n"/>
      <c r="D26" s="30" t="n"/>
      <c r="E26" s="30" t="n"/>
      <c r="F26" s="26" t="n"/>
      <c r="G26" s="25" t="n"/>
      <c r="H26" s="31">
        <f>IF($A26="","",IFERROR(INDEX(Consultores!$B$6:$B$65,MATCH($A26,Consultores!$A$6:$A$65,0)),"No existe"))</f>
        <v/>
      </c>
      <c r="I26" s="32">
        <f>IF($F26="",0,$F26/5)</f>
        <v/>
      </c>
      <c r="J26" s="33">
        <f>_xlfn.LET(_xlpm.inicio,MAX($D26,J$3),_xlpm.fin,MIN($E26,J$4),_xlpm.feriados,IF($H26="CO",FER_CO,FER_EC),_xlpm.dias,IF(_xlpm.inicio&gt;_xlpm.fin,0,NETWORKDAYS(_xlpm.inicio,_xlpm.fin,_xlpm.feriados)),_xlpm.factor,IF($G26="Probable",IF(Parametros!$B$6="Sí",1,0),1),IF(OR($A26="",$D26="",$E26=""),0,_xlpm.dias*$I26*_xlpm.factor))</f>
        <v/>
      </c>
      <c r="K26" s="33">
        <f>_xlfn.LET(_xlpm.inicio,MAX($D26,K$3),_xlpm.fin,MIN($E26,K$4),_xlpm.feriados,IF($H26="CO",FER_CO,FER_EC),_xlpm.dias,IF(_xlpm.inicio&gt;_xlpm.fin,0,NETWORKDAYS(_xlpm.inicio,_xlpm.fin,_xlpm.feriados)),_xlpm.factor,IF($G26="Probable",IF(Parametros!$B$6="Sí",1,0),1),IF(OR($A26="",$D26="",$E26=""),0,_xlpm.dias*$I26*_xlpm.factor))</f>
        <v/>
      </c>
      <c r="L26" s="33">
        <f>_xlfn.LET(_xlpm.inicio,MAX($D26,L$3),_xlpm.fin,MIN($E26,L$4),_xlpm.feriados,IF($H26="CO",FER_CO,FER_EC),_xlpm.dias,IF(_xlpm.inicio&gt;_xlpm.fin,0,NETWORKDAYS(_xlpm.inicio,_xlpm.fin,_xlpm.feriados)),_xlpm.factor,IF($G26="Probable",IF(Parametros!$B$6="Sí",1,0),1),IF(OR($A26="",$D26="",$E26=""),0,_xlpm.dias*$I26*_xlpm.factor))</f>
        <v/>
      </c>
      <c r="M26" s="33">
        <f>_xlfn.LET(_xlpm.inicio,MAX($D26,M$3),_xlpm.fin,MIN($E26,M$4),_xlpm.feriados,IF($H26="CO",FER_CO,FER_EC),_xlpm.dias,IF(_xlpm.inicio&gt;_xlpm.fin,0,NETWORKDAYS(_xlpm.inicio,_xlpm.fin,_xlpm.feriados)),_xlpm.factor,IF($G26="Probable",IF(Parametros!$B$6="Sí",1,0),1),IF(OR($A26="",$D26="",$E26=""),0,_xlpm.dias*$I26*_xlpm.factor))</f>
        <v/>
      </c>
      <c r="N26" s="33">
        <f>_xlfn.LET(_xlpm.inicio,MAX($D26,N$3),_xlpm.fin,MIN($E26,N$4),_xlpm.feriados,IF($H26="CO",FER_CO,FER_EC),_xlpm.dias,IF(_xlpm.inicio&gt;_xlpm.fin,0,NETWORKDAYS(_xlpm.inicio,_xlpm.fin,_xlpm.feriados)),_xlpm.factor,IF($G26="Probable",IF(Parametros!$B$6="Sí",1,0),1),IF(OR($A26="",$D26="",$E26=""),0,_xlpm.dias*$I26*_xlpm.factor))</f>
        <v/>
      </c>
      <c r="O26" s="33">
        <f>_xlfn.LET(_xlpm.inicio,MAX($D26,O$3),_xlpm.fin,MIN($E26,O$4),_xlpm.feriados,IF($H26="CO",FER_CO,FER_EC),_xlpm.dias,IF(_xlpm.inicio&gt;_xlpm.fin,0,NETWORKDAYS(_xlpm.inicio,_xlpm.fin,_xlpm.feriados)),_xlpm.factor,IF($G26="Probable",IF(Parametros!$B$6="Sí",1,0),1),IF(OR($A26="",$D26="",$E26=""),0,_xlpm.dias*$I26*_xlpm.factor))</f>
        <v/>
      </c>
      <c r="P26" s="34">
        <f>_xlfn.LET(_xlpm.horas,J26,_xlpm.feriados,IF($H26="CO",FER_CO,FER_EC),_xlpm.capacidad,NETWORKDAYS(J$3,J$4,_xlpm.feriados)*INDEX(Consultores!$C$6:$C$65,MATCH($A26,Consultores!$A$6:$A$65,0)),IF(_xlpm.horas=0,"",IFERROR(_xlpm.horas/_xlpm.capacidad,"")))</f>
        <v/>
      </c>
      <c r="Q26" s="34">
        <f>_xlfn.LET(_xlpm.horas,K26,_xlpm.feriados,IF($H26="CO",FER_CO,FER_EC),_xlpm.capacidad,NETWORKDAYS(K$3,K$4,_xlpm.feriados)*INDEX(Consultores!$C$6:$C$65,MATCH($A26,Consultores!$A$6:$A$65,0)),IF(_xlpm.horas=0,"",IFERROR(_xlpm.horas/_xlpm.capacidad,"")))</f>
        <v/>
      </c>
      <c r="R26" s="34">
        <f>_xlfn.LET(_xlpm.horas,L26,_xlpm.feriados,IF($H26="CO",FER_CO,FER_EC),_xlpm.capacidad,NETWORKDAYS(L$3,L$4,_xlpm.feriados)*INDEX(Consultores!$C$6:$C$65,MATCH($A26,Consultores!$A$6:$A$65,0)),IF(_xlpm.horas=0,"",IFERROR(_xlpm.horas/_xlpm.capacidad,"")))</f>
        <v/>
      </c>
      <c r="S26" s="34">
        <f>_xlfn.LET(_xlpm.horas,M26,_xlpm.feriados,IF($H26="CO",FER_CO,FER_EC),_xlpm.capacidad,NETWORKDAYS(M$3,M$4,_xlpm.feriados)*INDEX(Consultores!$C$6:$C$65,MATCH($A26,Consultores!$A$6:$A$65,0)),IF(_xlpm.horas=0,"",IFERROR(_xlpm.horas/_xlpm.capacidad,"")))</f>
        <v/>
      </c>
      <c r="T26" s="34">
        <f>_xlfn.LET(_xlpm.horas,N26,_xlpm.feriados,IF($H26="CO",FER_CO,FER_EC),_xlpm.capacidad,NETWORKDAYS(N$3,N$4,_xlpm.feriados)*INDEX(Consultores!$C$6:$C$65,MATCH($A26,Consultores!$A$6:$A$65,0)),IF(_xlpm.horas=0,"",IFERROR(_xlpm.horas/_xlpm.capacidad,"")))</f>
        <v/>
      </c>
      <c r="U26" s="34">
        <f>_xlfn.LET(_xlpm.horas,O26,_xlpm.feriados,IF($H26="CO",FER_CO,FER_EC),_xlpm.capacidad,NETWORKDAYS(O$3,O$4,_xlpm.feriados)*INDEX(Consultores!$C$6:$C$65,MATCH($A26,Consultores!$A$6:$A$65,0)),IF(_xlpm.horas=0,"",IFERROR(_xlpm.horas/_xlpm.capacidad,"")))</f>
        <v/>
      </c>
    </row>
    <row r="27">
      <c r="A27" s="25" t="n"/>
      <c r="B27" s="25" t="n"/>
      <c r="C27" s="25" t="n"/>
      <c r="D27" s="30" t="n"/>
      <c r="E27" s="30" t="n"/>
      <c r="F27" s="26" t="n"/>
      <c r="G27" s="25" t="n"/>
      <c r="H27" s="31">
        <f>IF($A27="","",IFERROR(INDEX(Consultores!$B$6:$B$65,MATCH($A27,Consultores!$A$6:$A$65,0)),"No existe"))</f>
        <v/>
      </c>
      <c r="I27" s="32">
        <f>IF($F27="",0,$F27/5)</f>
        <v/>
      </c>
      <c r="J27" s="33">
        <f>_xlfn.LET(_xlpm.inicio,MAX($D27,J$3),_xlpm.fin,MIN($E27,J$4),_xlpm.feriados,IF($H27="CO",FER_CO,FER_EC),_xlpm.dias,IF(_xlpm.inicio&gt;_xlpm.fin,0,NETWORKDAYS(_xlpm.inicio,_xlpm.fin,_xlpm.feriados)),_xlpm.factor,IF($G27="Probable",IF(Parametros!$B$6="Sí",1,0),1),IF(OR($A27="",$D27="",$E27=""),0,_xlpm.dias*$I27*_xlpm.factor))</f>
        <v/>
      </c>
      <c r="K27" s="33">
        <f>_xlfn.LET(_xlpm.inicio,MAX($D27,K$3),_xlpm.fin,MIN($E27,K$4),_xlpm.feriados,IF($H27="CO",FER_CO,FER_EC),_xlpm.dias,IF(_xlpm.inicio&gt;_xlpm.fin,0,NETWORKDAYS(_xlpm.inicio,_xlpm.fin,_xlpm.feriados)),_xlpm.factor,IF($G27="Probable",IF(Parametros!$B$6="Sí",1,0),1),IF(OR($A27="",$D27="",$E27=""),0,_xlpm.dias*$I27*_xlpm.factor))</f>
        <v/>
      </c>
      <c r="L27" s="33">
        <f>_xlfn.LET(_xlpm.inicio,MAX($D27,L$3),_xlpm.fin,MIN($E27,L$4),_xlpm.feriados,IF($H27="CO",FER_CO,FER_EC),_xlpm.dias,IF(_xlpm.inicio&gt;_xlpm.fin,0,NETWORKDAYS(_xlpm.inicio,_xlpm.fin,_xlpm.feriados)),_xlpm.factor,IF($G27="Probable",IF(Parametros!$B$6="Sí",1,0),1),IF(OR($A27="",$D27="",$E27=""),0,_xlpm.dias*$I27*_xlpm.factor))</f>
        <v/>
      </c>
      <c r="M27" s="33">
        <f>_xlfn.LET(_xlpm.inicio,MAX($D27,M$3),_xlpm.fin,MIN($E27,M$4),_xlpm.feriados,IF($H27="CO",FER_CO,FER_EC),_xlpm.dias,IF(_xlpm.inicio&gt;_xlpm.fin,0,NETWORKDAYS(_xlpm.inicio,_xlpm.fin,_xlpm.feriados)),_xlpm.factor,IF($G27="Probable",IF(Parametros!$B$6="Sí",1,0),1),IF(OR($A27="",$D27="",$E27=""),0,_xlpm.dias*$I27*_xlpm.factor))</f>
        <v/>
      </c>
      <c r="N27" s="33">
        <f>_xlfn.LET(_xlpm.inicio,MAX($D27,N$3),_xlpm.fin,MIN($E27,N$4),_xlpm.feriados,IF($H27="CO",FER_CO,FER_EC),_xlpm.dias,IF(_xlpm.inicio&gt;_xlpm.fin,0,NETWORKDAYS(_xlpm.inicio,_xlpm.fin,_xlpm.feriados)),_xlpm.factor,IF($G27="Probable",IF(Parametros!$B$6="Sí",1,0),1),IF(OR($A27="",$D27="",$E27=""),0,_xlpm.dias*$I27*_xlpm.factor))</f>
        <v/>
      </c>
      <c r="O27" s="33">
        <f>_xlfn.LET(_xlpm.inicio,MAX($D27,O$3),_xlpm.fin,MIN($E27,O$4),_xlpm.feriados,IF($H27="CO",FER_CO,FER_EC),_xlpm.dias,IF(_xlpm.inicio&gt;_xlpm.fin,0,NETWORKDAYS(_xlpm.inicio,_xlpm.fin,_xlpm.feriados)),_xlpm.factor,IF($G27="Probable",IF(Parametros!$B$6="Sí",1,0),1),IF(OR($A27="",$D27="",$E27=""),0,_xlpm.dias*$I27*_xlpm.factor))</f>
        <v/>
      </c>
      <c r="P27" s="34">
        <f>_xlfn.LET(_xlpm.horas,J27,_xlpm.feriados,IF($H27="CO",FER_CO,FER_EC),_xlpm.capacidad,NETWORKDAYS(J$3,J$4,_xlpm.feriados)*INDEX(Consultores!$C$6:$C$65,MATCH($A27,Consultores!$A$6:$A$65,0)),IF(_xlpm.horas=0,"",IFERROR(_xlpm.horas/_xlpm.capacidad,"")))</f>
        <v/>
      </c>
      <c r="Q27" s="34">
        <f>_xlfn.LET(_xlpm.horas,K27,_xlpm.feriados,IF($H27="CO",FER_CO,FER_EC),_xlpm.capacidad,NETWORKDAYS(K$3,K$4,_xlpm.feriados)*INDEX(Consultores!$C$6:$C$65,MATCH($A27,Consultores!$A$6:$A$65,0)),IF(_xlpm.horas=0,"",IFERROR(_xlpm.horas/_xlpm.capacidad,"")))</f>
        <v/>
      </c>
      <c r="R27" s="34">
        <f>_xlfn.LET(_xlpm.horas,L27,_xlpm.feriados,IF($H27="CO",FER_CO,FER_EC),_xlpm.capacidad,NETWORKDAYS(L$3,L$4,_xlpm.feriados)*INDEX(Consultores!$C$6:$C$65,MATCH($A27,Consultores!$A$6:$A$65,0)),IF(_xlpm.horas=0,"",IFERROR(_xlpm.horas/_xlpm.capacidad,"")))</f>
        <v/>
      </c>
      <c r="S27" s="34">
        <f>_xlfn.LET(_xlpm.horas,M27,_xlpm.feriados,IF($H27="CO",FER_CO,FER_EC),_xlpm.capacidad,NETWORKDAYS(M$3,M$4,_xlpm.feriados)*INDEX(Consultores!$C$6:$C$65,MATCH($A27,Consultores!$A$6:$A$65,0)),IF(_xlpm.horas=0,"",IFERROR(_xlpm.horas/_xlpm.capacidad,"")))</f>
        <v/>
      </c>
      <c r="T27" s="34">
        <f>_xlfn.LET(_xlpm.horas,N27,_xlpm.feriados,IF($H27="CO",FER_CO,FER_EC),_xlpm.capacidad,NETWORKDAYS(N$3,N$4,_xlpm.feriados)*INDEX(Consultores!$C$6:$C$65,MATCH($A27,Consultores!$A$6:$A$65,0)),IF(_xlpm.horas=0,"",IFERROR(_xlpm.horas/_xlpm.capacidad,"")))</f>
        <v/>
      </c>
      <c r="U27" s="34">
        <f>_xlfn.LET(_xlpm.horas,O27,_xlpm.feriados,IF($H27="CO",FER_CO,FER_EC),_xlpm.capacidad,NETWORKDAYS(O$3,O$4,_xlpm.feriados)*INDEX(Consultores!$C$6:$C$65,MATCH($A27,Consultores!$A$6:$A$65,0)),IF(_xlpm.horas=0,"",IFERROR(_xlpm.horas/_xlpm.capacidad,"")))</f>
        <v/>
      </c>
    </row>
    <row r="28">
      <c r="A28" s="25" t="n"/>
      <c r="B28" s="25" t="n"/>
      <c r="C28" s="25" t="n"/>
      <c r="D28" s="30" t="n"/>
      <c r="E28" s="30" t="n"/>
      <c r="F28" s="26" t="n"/>
      <c r="G28" s="25" t="n"/>
      <c r="H28" s="31">
        <f>IF($A28="","",IFERROR(INDEX(Consultores!$B$6:$B$65,MATCH($A28,Consultores!$A$6:$A$65,0)),"No existe"))</f>
        <v/>
      </c>
      <c r="I28" s="32">
        <f>IF($F28="",0,$F28/5)</f>
        <v/>
      </c>
      <c r="J28" s="33">
        <f>_xlfn.LET(_xlpm.inicio,MAX($D28,J$3),_xlpm.fin,MIN($E28,J$4),_xlpm.feriados,IF($H28="CO",FER_CO,FER_EC),_xlpm.dias,IF(_xlpm.inicio&gt;_xlpm.fin,0,NETWORKDAYS(_xlpm.inicio,_xlpm.fin,_xlpm.feriados)),_xlpm.factor,IF($G28="Probable",IF(Parametros!$B$6="Sí",1,0),1),IF(OR($A28="",$D28="",$E28=""),0,_xlpm.dias*$I28*_xlpm.factor))</f>
        <v/>
      </c>
      <c r="K28" s="33">
        <f>_xlfn.LET(_xlpm.inicio,MAX($D28,K$3),_xlpm.fin,MIN($E28,K$4),_xlpm.feriados,IF($H28="CO",FER_CO,FER_EC),_xlpm.dias,IF(_xlpm.inicio&gt;_xlpm.fin,0,NETWORKDAYS(_xlpm.inicio,_xlpm.fin,_xlpm.feriados)),_xlpm.factor,IF($G28="Probable",IF(Parametros!$B$6="Sí",1,0),1),IF(OR($A28="",$D28="",$E28=""),0,_xlpm.dias*$I28*_xlpm.factor))</f>
        <v/>
      </c>
      <c r="L28" s="33">
        <f>_xlfn.LET(_xlpm.inicio,MAX($D28,L$3),_xlpm.fin,MIN($E28,L$4),_xlpm.feriados,IF($H28="CO",FER_CO,FER_EC),_xlpm.dias,IF(_xlpm.inicio&gt;_xlpm.fin,0,NETWORKDAYS(_xlpm.inicio,_xlpm.fin,_xlpm.feriados)),_xlpm.factor,IF($G28="Probable",IF(Parametros!$B$6="Sí",1,0),1),IF(OR($A28="",$D28="",$E28=""),0,_xlpm.dias*$I28*_xlpm.factor))</f>
        <v/>
      </c>
      <c r="M28" s="33">
        <f>_xlfn.LET(_xlpm.inicio,MAX($D28,M$3),_xlpm.fin,MIN($E28,M$4),_xlpm.feriados,IF($H28="CO",FER_CO,FER_EC),_xlpm.dias,IF(_xlpm.inicio&gt;_xlpm.fin,0,NETWORKDAYS(_xlpm.inicio,_xlpm.fin,_xlpm.feriados)),_xlpm.factor,IF($G28="Probable",IF(Parametros!$B$6="Sí",1,0),1),IF(OR($A28="",$D28="",$E28=""),0,_xlpm.dias*$I28*_xlpm.factor))</f>
        <v/>
      </c>
      <c r="N28" s="33">
        <f>_xlfn.LET(_xlpm.inicio,MAX($D28,N$3),_xlpm.fin,MIN($E28,N$4),_xlpm.feriados,IF($H28="CO",FER_CO,FER_EC),_xlpm.dias,IF(_xlpm.inicio&gt;_xlpm.fin,0,NETWORKDAYS(_xlpm.inicio,_xlpm.fin,_xlpm.feriados)),_xlpm.factor,IF($G28="Probable",IF(Parametros!$B$6="Sí",1,0),1),IF(OR($A28="",$D28="",$E28=""),0,_xlpm.dias*$I28*_xlpm.factor))</f>
        <v/>
      </c>
      <c r="O28" s="33">
        <f>_xlfn.LET(_xlpm.inicio,MAX($D28,O$3),_xlpm.fin,MIN($E28,O$4),_xlpm.feriados,IF($H28="CO",FER_CO,FER_EC),_xlpm.dias,IF(_xlpm.inicio&gt;_xlpm.fin,0,NETWORKDAYS(_xlpm.inicio,_xlpm.fin,_xlpm.feriados)),_xlpm.factor,IF($G28="Probable",IF(Parametros!$B$6="Sí",1,0),1),IF(OR($A28="",$D28="",$E28=""),0,_xlpm.dias*$I28*_xlpm.factor))</f>
        <v/>
      </c>
      <c r="P28" s="34">
        <f>_xlfn.LET(_xlpm.horas,J28,_xlpm.feriados,IF($H28="CO",FER_CO,FER_EC),_xlpm.capacidad,NETWORKDAYS(J$3,J$4,_xlpm.feriados)*INDEX(Consultores!$C$6:$C$65,MATCH($A28,Consultores!$A$6:$A$65,0)),IF(_xlpm.horas=0,"",IFERROR(_xlpm.horas/_xlpm.capacidad,"")))</f>
        <v/>
      </c>
      <c r="Q28" s="34">
        <f>_xlfn.LET(_xlpm.horas,K28,_xlpm.feriados,IF($H28="CO",FER_CO,FER_EC),_xlpm.capacidad,NETWORKDAYS(K$3,K$4,_xlpm.feriados)*INDEX(Consultores!$C$6:$C$65,MATCH($A28,Consultores!$A$6:$A$65,0)),IF(_xlpm.horas=0,"",IFERROR(_xlpm.horas/_xlpm.capacidad,"")))</f>
        <v/>
      </c>
      <c r="R28" s="34">
        <f>_xlfn.LET(_xlpm.horas,L28,_xlpm.feriados,IF($H28="CO",FER_CO,FER_EC),_xlpm.capacidad,NETWORKDAYS(L$3,L$4,_xlpm.feriados)*INDEX(Consultores!$C$6:$C$65,MATCH($A28,Consultores!$A$6:$A$65,0)),IF(_xlpm.horas=0,"",IFERROR(_xlpm.horas/_xlpm.capacidad,"")))</f>
        <v/>
      </c>
      <c r="S28" s="34">
        <f>_xlfn.LET(_xlpm.horas,M28,_xlpm.feriados,IF($H28="CO",FER_CO,FER_EC),_xlpm.capacidad,NETWORKDAYS(M$3,M$4,_xlpm.feriados)*INDEX(Consultores!$C$6:$C$65,MATCH($A28,Consultores!$A$6:$A$65,0)),IF(_xlpm.horas=0,"",IFERROR(_xlpm.horas/_xlpm.capacidad,"")))</f>
        <v/>
      </c>
      <c r="T28" s="34">
        <f>_xlfn.LET(_xlpm.horas,N28,_xlpm.feriados,IF($H28="CO",FER_CO,FER_EC),_xlpm.capacidad,NETWORKDAYS(N$3,N$4,_xlpm.feriados)*INDEX(Consultores!$C$6:$C$65,MATCH($A28,Consultores!$A$6:$A$65,0)),IF(_xlpm.horas=0,"",IFERROR(_xlpm.horas/_xlpm.capacidad,"")))</f>
        <v/>
      </c>
      <c r="U28" s="34">
        <f>_xlfn.LET(_xlpm.horas,O28,_xlpm.feriados,IF($H28="CO",FER_CO,FER_EC),_xlpm.capacidad,NETWORKDAYS(O$3,O$4,_xlpm.feriados)*INDEX(Consultores!$C$6:$C$65,MATCH($A28,Consultores!$A$6:$A$65,0)),IF(_xlpm.horas=0,"",IFERROR(_xlpm.horas/_xlpm.capacidad,"")))</f>
        <v/>
      </c>
    </row>
    <row r="29">
      <c r="A29" s="25" t="n"/>
      <c r="B29" s="25" t="n"/>
      <c r="C29" s="25" t="n"/>
      <c r="D29" s="30" t="n"/>
      <c r="E29" s="30" t="n"/>
      <c r="F29" s="26" t="n"/>
      <c r="G29" s="25" t="n"/>
      <c r="H29" s="31">
        <f>IF($A29="","",IFERROR(INDEX(Consultores!$B$6:$B$65,MATCH($A29,Consultores!$A$6:$A$65,0)),"No existe"))</f>
        <v/>
      </c>
      <c r="I29" s="32">
        <f>IF($F29="",0,$F29/5)</f>
        <v/>
      </c>
      <c r="J29" s="33">
        <f>_xlfn.LET(_xlpm.inicio,MAX($D29,J$3),_xlpm.fin,MIN($E29,J$4),_xlpm.feriados,IF($H29="CO",FER_CO,FER_EC),_xlpm.dias,IF(_xlpm.inicio&gt;_xlpm.fin,0,NETWORKDAYS(_xlpm.inicio,_xlpm.fin,_xlpm.feriados)),_xlpm.factor,IF($G29="Probable",IF(Parametros!$B$6="Sí",1,0),1),IF(OR($A29="",$D29="",$E29=""),0,_xlpm.dias*$I29*_xlpm.factor))</f>
        <v/>
      </c>
      <c r="K29" s="33">
        <f>_xlfn.LET(_xlpm.inicio,MAX($D29,K$3),_xlpm.fin,MIN($E29,K$4),_xlpm.feriados,IF($H29="CO",FER_CO,FER_EC),_xlpm.dias,IF(_xlpm.inicio&gt;_xlpm.fin,0,NETWORKDAYS(_xlpm.inicio,_xlpm.fin,_xlpm.feriados)),_xlpm.factor,IF($G29="Probable",IF(Parametros!$B$6="Sí",1,0),1),IF(OR($A29="",$D29="",$E29=""),0,_xlpm.dias*$I29*_xlpm.factor))</f>
        <v/>
      </c>
      <c r="L29" s="33">
        <f>_xlfn.LET(_xlpm.inicio,MAX($D29,L$3),_xlpm.fin,MIN($E29,L$4),_xlpm.feriados,IF($H29="CO",FER_CO,FER_EC),_xlpm.dias,IF(_xlpm.inicio&gt;_xlpm.fin,0,NETWORKDAYS(_xlpm.inicio,_xlpm.fin,_xlpm.feriados)),_xlpm.factor,IF($G29="Probable",IF(Parametros!$B$6="Sí",1,0),1),IF(OR($A29="",$D29="",$E29=""),0,_xlpm.dias*$I29*_xlpm.factor))</f>
        <v/>
      </c>
      <c r="M29" s="33">
        <f>_xlfn.LET(_xlpm.inicio,MAX($D29,M$3),_xlpm.fin,MIN($E29,M$4),_xlpm.feriados,IF($H29="CO",FER_CO,FER_EC),_xlpm.dias,IF(_xlpm.inicio&gt;_xlpm.fin,0,NETWORKDAYS(_xlpm.inicio,_xlpm.fin,_xlpm.feriados)),_xlpm.factor,IF($G29="Probable",IF(Parametros!$B$6="Sí",1,0),1),IF(OR($A29="",$D29="",$E29=""),0,_xlpm.dias*$I29*_xlpm.factor))</f>
        <v/>
      </c>
      <c r="N29" s="33">
        <f>_xlfn.LET(_xlpm.inicio,MAX($D29,N$3),_xlpm.fin,MIN($E29,N$4),_xlpm.feriados,IF($H29="CO",FER_CO,FER_EC),_xlpm.dias,IF(_xlpm.inicio&gt;_xlpm.fin,0,NETWORKDAYS(_xlpm.inicio,_xlpm.fin,_xlpm.feriados)),_xlpm.factor,IF($G29="Probable",IF(Parametros!$B$6="Sí",1,0),1),IF(OR($A29="",$D29="",$E29=""),0,_xlpm.dias*$I29*_xlpm.factor))</f>
        <v/>
      </c>
      <c r="O29" s="33">
        <f>_xlfn.LET(_xlpm.inicio,MAX($D29,O$3),_xlpm.fin,MIN($E29,O$4),_xlpm.feriados,IF($H29="CO",FER_CO,FER_EC),_xlpm.dias,IF(_xlpm.inicio&gt;_xlpm.fin,0,NETWORKDAYS(_xlpm.inicio,_xlpm.fin,_xlpm.feriados)),_xlpm.factor,IF($G29="Probable",IF(Parametros!$B$6="Sí",1,0),1),IF(OR($A29="",$D29="",$E29=""),0,_xlpm.dias*$I29*_xlpm.factor))</f>
        <v/>
      </c>
      <c r="P29" s="34">
        <f>_xlfn.LET(_xlpm.horas,J29,_xlpm.feriados,IF($H29="CO",FER_CO,FER_EC),_xlpm.capacidad,NETWORKDAYS(J$3,J$4,_xlpm.feriados)*INDEX(Consultores!$C$6:$C$65,MATCH($A29,Consultores!$A$6:$A$65,0)),IF(_xlpm.horas=0,"",IFERROR(_xlpm.horas/_xlpm.capacidad,"")))</f>
        <v/>
      </c>
      <c r="Q29" s="34">
        <f>_xlfn.LET(_xlpm.horas,K29,_xlpm.feriados,IF($H29="CO",FER_CO,FER_EC),_xlpm.capacidad,NETWORKDAYS(K$3,K$4,_xlpm.feriados)*INDEX(Consultores!$C$6:$C$65,MATCH($A29,Consultores!$A$6:$A$65,0)),IF(_xlpm.horas=0,"",IFERROR(_xlpm.horas/_xlpm.capacidad,"")))</f>
        <v/>
      </c>
      <c r="R29" s="34">
        <f>_xlfn.LET(_xlpm.horas,L29,_xlpm.feriados,IF($H29="CO",FER_CO,FER_EC),_xlpm.capacidad,NETWORKDAYS(L$3,L$4,_xlpm.feriados)*INDEX(Consultores!$C$6:$C$65,MATCH($A29,Consultores!$A$6:$A$65,0)),IF(_xlpm.horas=0,"",IFERROR(_xlpm.horas/_xlpm.capacidad,"")))</f>
        <v/>
      </c>
      <c r="S29" s="34">
        <f>_xlfn.LET(_xlpm.horas,M29,_xlpm.feriados,IF($H29="CO",FER_CO,FER_EC),_xlpm.capacidad,NETWORKDAYS(M$3,M$4,_xlpm.feriados)*INDEX(Consultores!$C$6:$C$65,MATCH($A29,Consultores!$A$6:$A$65,0)),IF(_xlpm.horas=0,"",IFERROR(_xlpm.horas/_xlpm.capacidad,"")))</f>
        <v/>
      </c>
      <c r="T29" s="34">
        <f>_xlfn.LET(_xlpm.horas,N29,_xlpm.feriados,IF($H29="CO",FER_CO,FER_EC),_xlpm.capacidad,NETWORKDAYS(N$3,N$4,_xlpm.feriados)*INDEX(Consultores!$C$6:$C$65,MATCH($A29,Consultores!$A$6:$A$65,0)),IF(_xlpm.horas=0,"",IFERROR(_xlpm.horas/_xlpm.capacidad,"")))</f>
        <v/>
      </c>
      <c r="U29" s="34">
        <f>_xlfn.LET(_xlpm.horas,O29,_xlpm.feriados,IF($H29="CO",FER_CO,FER_EC),_xlpm.capacidad,NETWORKDAYS(O$3,O$4,_xlpm.feriados)*INDEX(Consultores!$C$6:$C$65,MATCH($A29,Consultores!$A$6:$A$65,0)),IF(_xlpm.horas=0,"",IFERROR(_xlpm.horas/_xlpm.capacidad,"")))</f>
        <v/>
      </c>
    </row>
    <row r="30">
      <c r="A30" s="25" t="n"/>
      <c r="B30" s="25" t="n"/>
      <c r="C30" s="25" t="n"/>
      <c r="D30" s="30" t="n"/>
      <c r="E30" s="30" t="n"/>
      <c r="F30" s="26" t="n"/>
      <c r="G30" s="25" t="n"/>
      <c r="H30" s="31">
        <f>IF($A30="","",IFERROR(INDEX(Consultores!$B$6:$B$65,MATCH($A30,Consultores!$A$6:$A$65,0)),"No existe"))</f>
        <v/>
      </c>
      <c r="I30" s="32">
        <f>IF($F30="",0,$F30/5)</f>
        <v/>
      </c>
      <c r="J30" s="33">
        <f>_xlfn.LET(_xlpm.inicio,MAX($D30,J$3),_xlpm.fin,MIN($E30,J$4),_xlpm.feriados,IF($H30="CO",FER_CO,FER_EC),_xlpm.dias,IF(_xlpm.inicio&gt;_xlpm.fin,0,NETWORKDAYS(_xlpm.inicio,_xlpm.fin,_xlpm.feriados)),_xlpm.factor,IF($G30="Probable",IF(Parametros!$B$6="Sí",1,0),1),IF(OR($A30="",$D30="",$E30=""),0,_xlpm.dias*$I30*_xlpm.factor))</f>
        <v/>
      </c>
      <c r="K30" s="33">
        <f>_xlfn.LET(_xlpm.inicio,MAX($D30,K$3),_xlpm.fin,MIN($E30,K$4),_xlpm.feriados,IF($H30="CO",FER_CO,FER_EC),_xlpm.dias,IF(_xlpm.inicio&gt;_xlpm.fin,0,NETWORKDAYS(_xlpm.inicio,_xlpm.fin,_xlpm.feriados)),_xlpm.factor,IF($G30="Probable",IF(Parametros!$B$6="Sí",1,0),1),IF(OR($A30="",$D30="",$E30=""),0,_xlpm.dias*$I30*_xlpm.factor))</f>
        <v/>
      </c>
      <c r="L30" s="33">
        <f>_xlfn.LET(_xlpm.inicio,MAX($D30,L$3),_xlpm.fin,MIN($E30,L$4),_xlpm.feriados,IF($H30="CO",FER_CO,FER_EC),_xlpm.dias,IF(_xlpm.inicio&gt;_xlpm.fin,0,NETWORKDAYS(_xlpm.inicio,_xlpm.fin,_xlpm.feriados)),_xlpm.factor,IF($G30="Probable",IF(Parametros!$B$6="Sí",1,0),1),IF(OR($A30="",$D30="",$E30=""),0,_xlpm.dias*$I30*_xlpm.factor))</f>
        <v/>
      </c>
      <c r="M30" s="33">
        <f>_xlfn.LET(_xlpm.inicio,MAX($D30,M$3),_xlpm.fin,MIN($E30,M$4),_xlpm.feriados,IF($H30="CO",FER_CO,FER_EC),_xlpm.dias,IF(_xlpm.inicio&gt;_xlpm.fin,0,NETWORKDAYS(_xlpm.inicio,_xlpm.fin,_xlpm.feriados)),_xlpm.factor,IF($G30="Probable",IF(Parametros!$B$6="Sí",1,0),1),IF(OR($A30="",$D30="",$E30=""),0,_xlpm.dias*$I30*_xlpm.factor))</f>
        <v/>
      </c>
      <c r="N30" s="33">
        <f>_xlfn.LET(_xlpm.inicio,MAX($D30,N$3),_xlpm.fin,MIN($E30,N$4),_xlpm.feriados,IF($H30="CO",FER_CO,FER_EC),_xlpm.dias,IF(_xlpm.inicio&gt;_xlpm.fin,0,NETWORKDAYS(_xlpm.inicio,_xlpm.fin,_xlpm.feriados)),_xlpm.factor,IF($G30="Probable",IF(Parametros!$B$6="Sí",1,0),1),IF(OR($A30="",$D30="",$E30=""),0,_xlpm.dias*$I30*_xlpm.factor))</f>
        <v/>
      </c>
      <c r="O30" s="33">
        <f>_xlfn.LET(_xlpm.inicio,MAX($D30,O$3),_xlpm.fin,MIN($E30,O$4),_xlpm.feriados,IF($H30="CO",FER_CO,FER_EC),_xlpm.dias,IF(_xlpm.inicio&gt;_xlpm.fin,0,NETWORKDAYS(_xlpm.inicio,_xlpm.fin,_xlpm.feriados)),_xlpm.factor,IF($G30="Probable",IF(Parametros!$B$6="Sí",1,0),1),IF(OR($A30="",$D30="",$E30=""),0,_xlpm.dias*$I30*_xlpm.factor))</f>
        <v/>
      </c>
      <c r="P30" s="34">
        <f>_xlfn.LET(_xlpm.horas,J30,_xlpm.feriados,IF($H30="CO",FER_CO,FER_EC),_xlpm.capacidad,NETWORKDAYS(J$3,J$4,_xlpm.feriados)*INDEX(Consultores!$C$6:$C$65,MATCH($A30,Consultores!$A$6:$A$65,0)),IF(_xlpm.horas=0,"",IFERROR(_xlpm.horas/_xlpm.capacidad,"")))</f>
        <v/>
      </c>
      <c r="Q30" s="34">
        <f>_xlfn.LET(_xlpm.horas,K30,_xlpm.feriados,IF($H30="CO",FER_CO,FER_EC),_xlpm.capacidad,NETWORKDAYS(K$3,K$4,_xlpm.feriados)*INDEX(Consultores!$C$6:$C$65,MATCH($A30,Consultores!$A$6:$A$65,0)),IF(_xlpm.horas=0,"",IFERROR(_xlpm.horas/_xlpm.capacidad,"")))</f>
        <v/>
      </c>
      <c r="R30" s="34">
        <f>_xlfn.LET(_xlpm.horas,L30,_xlpm.feriados,IF($H30="CO",FER_CO,FER_EC),_xlpm.capacidad,NETWORKDAYS(L$3,L$4,_xlpm.feriados)*INDEX(Consultores!$C$6:$C$65,MATCH($A30,Consultores!$A$6:$A$65,0)),IF(_xlpm.horas=0,"",IFERROR(_xlpm.horas/_xlpm.capacidad,"")))</f>
        <v/>
      </c>
      <c r="S30" s="34">
        <f>_xlfn.LET(_xlpm.horas,M30,_xlpm.feriados,IF($H30="CO",FER_CO,FER_EC),_xlpm.capacidad,NETWORKDAYS(M$3,M$4,_xlpm.feriados)*INDEX(Consultores!$C$6:$C$65,MATCH($A30,Consultores!$A$6:$A$65,0)),IF(_xlpm.horas=0,"",IFERROR(_xlpm.horas/_xlpm.capacidad,"")))</f>
        <v/>
      </c>
      <c r="T30" s="34">
        <f>_xlfn.LET(_xlpm.horas,N30,_xlpm.feriados,IF($H30="CO",FER_CO,FER_EC),_xlpm.capacidad,NETWORKDAYS(N$3,N$4,_xlpm.feriados)*INDEX(Consultores!$C$6:$C$65,MATCH($A30,Consultores!$A$6:$A$65,0)),IF(_xlpm.horas=0,"",IFERROR(_xlpm.horas/_xlpm.capacidad,"")))</f>
        <v/>
      </c>
      <c r="U30" s="34">
        <f>_xlfn.LET(_xlpm.horas,O30,_xlpm.feriados,IF($H30="CO",FER_CO,FER_EC),_xlpm.capacidad,NETWORKDAYS(O$3,O$4,_xlpm.feriados)*INDEX(Consultores!$C$6:$C$65,MATCH($A30,Consultores!$A$6:$A$65,0)),IF(_xlpm.horas=0,"",IFERROR(_xlpm.horas/_xlpm.capacidad,"")))</f>
        <v/>
      </c>
    </row>
    <row r="31">
      <c r="A31" s="25" t="n"/>
      <c r="B31" s="25" t="n"/>
      <c r="C31" s="25" t="n"/>
      <c r="D31" s="30" t="n"/>
      <c r="E31" s="30" t="n"/>
      <c r="F31" s="26" t="n"/>
      <c r="G31" s="25" t="n"/>
      <c r="H31" s="31">
        <f>IF($A31="","",IFERROR(INDEX(Consultores!$B$6:$B$65,MATCH($A31,Consultores!$A$6:$A$65,0)),"No existe"))</f>
        <v/>
      </c>
      <c r="I31" s="32">
        <f>IF($F31="",0,$F31/5)</f>
        <v/>
      </c>
      <c r="J31" s="33">
        <f>_xlfn.LET(_xlpm.inicio,MAX($D31,J$3),_xlpm.fin,MIN($E31,J$4),_xlpm.feriados,IF($H31="CO",FER_CO,FER_EC),_xlpm.dias,IF(_xlpm.inicio&gt;_xlpm.fin,0,NETWORKDAYS(_xlpm.inicio,_xlpm.fin,_xlpm.feriados)),_xlpm.factor,IF($G31="Probable",IF(Parametros!$B$6="Sí",1,0),1),IF(OR($A31="",$D31="",$E31=""),0,_xlpm.dias*$I31*_xlpm.factor))</f>
        <v/>
      </c>
      <c r="K31" s="33">
        <f>_xlfn.LET(_xlpm.inicio,MAX($D31,K$3),_xlpm.fin,MIN($E31,K$4),_xlpm.feriados,IF($H31="CO",FER_CO,FER_EC),_xlpm.dias,IF(_xlpm.inicio&gt;_xlpm.fin,0,NETWORKDAYS(_xlpm.inicio,_xlpm.fin,_xlpm.feriados)),_xlpm.factor,IF($G31="Probable",IF(Parametros!$B$6="Sí",1,0),1),IF(OR($A31="",$D31="",$E31=""),0,_xlpm.dias*$I31*_xlpm.factor))</f>
        <v/>
      </c>
      <c r="L31" s="33">
        <f>_xlfn.LET(_xlpm.inicio,MAX($D31,L$3),_xlpm.fin,MIN($E31,L$4),_xlpm.feriados,IF($H31="CO",FER_CO,FER_EC),_xlpm.dias,IF(_xlpm.inicio&gt;_xlpm.fin,0,NETWORKDAYS(_xlpm.inicio,_xlpm.fin,_xlpm.feriados)),_xlpm.factor,IF($G31="Probable",IF(Parametros!$B$6="Sí",1,0),1),IF(OR($A31="",$D31="",$E31=""),0,_xlpm.dias*$I31*_xlpm.factor))</f>
        <v/>
      </c>
      <c r="M31" s="33">
        <f>_xlfn.LET(_xlpm.inicio,MAX($D31,M$3),_xlpm.fin,MIN($E31,M$4),_xlpm.feriados,IF($H31="CO",FER_CO,FER_EC),_xlpm.dias,IF(_xlpm.inicio&gt;_xlpm.fin,0,NETWORKDAYS(_xlpm.inicio,_xlpm.fin,_xlpm.feriados)),_xlpm.factor,IF($G31="Probable",IF(Parametros!$B$6="Sí",1,0),1),IF(OR($A31="",$D31="",$E31=""),0,_xlpm.dias*$I31*_xlpm.factor))</f>
        <v/>
      </c>
      <c r="N31" s="33">
        <f>_xlfn.LET(_xlpm.inicio,MAX($D31,N$3),_xlpm.fin,MIN($E31,N$4),_xlpm.feriados,IF($H31="CO",FER_CO,FER_EC),_xlpm.dias,IF(_xlpm.inicio&gt;_xlpm.fin,0,NETWORKDAYS(_xlpm.inicio,_xlpm.fin,_xlpm.feriados)),_xlpm.factor,IF($G31="Probable",IF(Parametros!$B$6="Sí",1,0),1),IF(OR($A31="",$D31="",$E31=""),0,_xlpm.dias*$I31*_xlpm.factor))</f>
        <v/>
      </c>
      <c r="O31" s="33">
        <f>_xlfn.LET(_xlpm.inicio,MAX($D31,O$3),_xlpm.fin,MIN($E31,O$4),_xlpm.feriados,IF($H31="CO",FER_CO,FER_EC),_xlpm.dias,IF(_xlpm.inicio&gt;_xlpm.fin,0,NETWORKDAYS(_xlpm.inicio,_xlpm.fin,_xlpm.feriados)),_xlpm.factor,IF($G31="Probable",IF(Parametros!$B$6="Sí",1,0),1),IF(OR($A31="",$D31="",$E31=""),0,_xlpm.dias*$I31*_xlpm.factor))</f>
        <v/>
      </c>
      <c r="P31" s="34">
        <f>_xlfn.LET(_xlpm.horas,J31,_xlpm.feriados,IF($H31="CO",FER_CO,FER_EC),_xlpm.capacidad,NETWORKDAYS(J$3,J$4,_xlpm.feriados)*INDEX(Consultores!$C$6:$C$65,MATCH($A31,Consultores!$A$6:$A$65,0)),IF(_xlpm.horas=0,"",IFERROR(_xlpm.horas/_xlpm.capacidad,"")))</f>
        <v/>
      </c>
      <c r="Q31" s="34">
        <f>_xlfn.LET(_xlpm.horas,K31,_xlpm.feriados,IF($H31="CO",FER_CO,FER_EC),_xlpm.capacidad,NETWORKDAYS(K$3,K$4,_xlpm.feriados)*INDEX(Consultores!$C$6:$C$65,MATCH($A31,Consultores!$A$6:$A$65,0)),IF(_xlpm.horas=0,"",IFERROR(_xlpm.horas/_xlpm.capacidad,"")))</f>
        <v/>
      </c>
      <c r="R31" s="34">
        <f>_xlfn.LET(_xlpm.horas,L31,_xlpm.feriados,IF($H31="CO",FER_CO,FER_EC),_xlpm.capacidad,NETWORKDAYS(L$3,L$4,_xlpm.feriados)*INDEX(Consultores!$C$6:$C$65,MATCH($A31,Consultores!$A$6:$A$65,0)),IF(_xlpm.horas=0,"",IFERROR(_xlpm.horas/_xlpm.capacidad,"")))</f>
        <v/>
      </c>
      <c r="S31" s="34">
        <f>_xlfn.LET(_xlpm.horas,M31,_xlpm.feriados,IF($H31="CO",FER_CO,FER_EC),_xlpm.capacidad,NETWORKDAYS(M$3,M$4,_xlpm.feriados)*INDEX(Consultores!$C$6:$C$65,MATCH($A31,Consultores!$A$6:$A$65,0)),IF(_xlpm.horas=0,"",IFERROR(_xlpm.horas/_xlpm.capacidad,"")))</f>
        <v/>
      </c>
      <c r="T31" s="34">
        <f>_xlfn.LET(_xlpm.horas,N31,_xlpm.feriados,IF($H31="CO",FER_CO,FER_EC),_xlpm.capacidad,NETWORKDAYS(N$3,N$4,_xlpm.feriados)*INDEX(Consultores!$C$6:$C$65,MATCH($A31,Consultores!$A$6:$A$65,0)),IF(_xlpm.horas=0,"",IFERROR(_xlpm.horas/_xlpm.capacidad,"")))</f>
        <v/>
      </c>
      <c r="U31" s="34">
        <f>_xlfn.LET(_xlpm.horas,O31,_xlpm.feriados,IF($H31="CO",FER_CO,FER_EC),_xlpm.capacidad,NETWORKDAYS(O$3,O$4,_xlpm.feriados)*INDEX(Consultores!$C$6:$C$65,MATCH($A31,Consultores!$A$6:$A$65,0)),IF(_xlpm.horas=0,"",IFERROR(_xlpm.horas/_xlpm.capacidad,"")))</f>
        <v/>
      </c>
    </row>
    <row r="32">
      <c r="A32" s="25" t="n"/>
      <c r="B32" s="25" t="n"/>
      <c r="C32" s="25" t="n"/>
      <c r="D32" s="30" t="n"/>
      <c r="E32" s="30" t="n"/>
      <c r="F32" s="26" t="n"/>
      <c r="G32" s="25" t="n"/>
      <c r="H32" s="31">
        <f>IF($A32="","",IFERROR(INDEX(Consultores!$B$6:$B$65,MATCH($A32,Consultores!$A$6:$A$65,0)),"No existe"))</f>
        <v/>
      </c>
      <c r="I32" s="32">
        <f>IF($F32="",0,$F32/5)</f>
        <v/>
      </c>
      <c r="J32" s="33">
        <f>_xlfn.LET(_xlpm.inicio,MAX($D32,J$3),_xlpm.fin,MIN($E32,J$4),_xlpm.feriados,IF($H32="CO",FER_CO,FER_EC),_xlpm.dias,IF(_xlpm.inicio&gt;_xlpm.fin,0,NETWORKDAYS(_xlpm.inicio,_xlpm.fin,_xlpm.feriados)),_xlpm.factor,IF($G32="Probable",IF(Parametros!$B$6="Sí",1,0),1),IF(OR($A32="",$D32="",$E32=""),0,_xlpm.dias*$I32*_xlpm.factor))</f>
        <v/>
      </c>
      <c r="K32" s="33">
        <f>_xlfn.LET(_xlpm.inicio,MAX($D32,K$3),_xlpm.fin,MIN($E32,K$4),_xlpm.feriados,IF($H32="CO",FER_CO,FER_EC),_xlpm.dias,IF(_xlpm.inicio&gt;_xlpm.fin,0,NETWORKDAYS(_xlpm.inicio,_xlpm.fin,_xlpm.feriados)),_xlpm.factor,IF($G32="Probable",IF(Parametros!$B$6="Sí",1,0),1),IF(OR($A32="",$D32="",$E32=""),0,_xlpm.dias*$I32*_xlpm.factor))</f>
        <v/>
      </c>
      <c r="L32" s="33">
        <f>_xlfn.LET(_xlpm.inicio,MAX($D32,L$3),_xlpm.fin,MIN($E32,L$4),_xlpm.feriados,IF($H32="CO",FER_CO,FER_EC),_xlpm.dias,IF(_xlpm.inicio&gt;_xlpm.fin,0,NETWORKDAYS(_xlpm.inicio,_xlpm.fin,_xlpm.feriados)),_xlpm.factor,IF($G32="Probable",IF(Parametros!$B$6="Sí",1,0),1),IF(OR($A32="",$D32="",$E32=""),0,_xlpm.dias*$I32*_xlpm.factor))</f>
        <v/>
      </c>
      <c r="M32" s="33">
        <f>_xlfn.LET(_xlpm.inicio,MAX($D32,M$3),_xlpm.fin,MIN($E32,M$4),_xlpm.feriados,IF($H32="CO",FER_CO,FER_EC),_xlpm.dias,IF(_xlpm.inicio&gt;_xlpm.fin,0,NETWORKDAYS(_xlpm.inicio,_xlpm.fin,_xlpm.feriados)),_xlpm.factor,IF($G32="Probable",IF(Parametros!$B$6="Sí",1,0),1),IF(OR($A32="",$D32="",$E32=""),0,_xlpm.dias*$I32*_xlpm.factor))</f>
        <v/>
      </c>
      <c r="N32" s="33">
        <f>_xlfn.LET(_xlpm.inicio,MAX($D32,N$3),_xlpm.fin,MIN($E32,N$4),_xlpm.feriados,IF($H32="CO",FER_CO,FER_EC),_xlpm.dias,IF(_xlpm.inicio&gt;_xlpm.fin,0,NETWORKDAYS(_xlpm.inicio,_xlpm.fin,_xlpm.feriados)),_xlpm.factor,IF($G32="Probable",IF(Parametros!$B$6="Sí",1,0),1),IF(OR($A32="",$D32="",$E32=""),0,_xlpm.dias*$I32*_xlpm.factor))</f>
        <v/>
      </c>
      <c r="O32" s="33">
        <f>_xlfn.LET(_xlpm.inicio,MAX($D32,O$3),_xlpm.fin,MIN($E32,O$4),_xlpm.feriados,IF($H32="CO",FER_CO,FER_EC),_xlpm.dias,IF(_xlpm.inicio&gt;_xlpm.fin,0,NETWORKDAYS(_xlpm.inicio,_xlpm.fin,_xlpm.feriados)),_xlpm.factor,IF($G32="Probable",IF(Parametros!$B$6="Sí",1,0),1),IF(OR($A32="",$D32="",$E32=""),0,_xlpm.dias*$I32*_xlpm.factor))</f>
        <v/>
      </c>
      <c r="P32" s="34">
        <f>_xlfn.LET(_xlpm.horas,J32,_xlpm.feriados,IF($H32="CO",FER_CO,FER_EC),_xlpm.capacidad,NETWORKDAYS(J$3,J$4,_xlpm.feriados)*INDEX(Consultores!$C$6:$C$65,MATCH($A32,Consultores!$A$6:$A$65,0)),IF(_xlpm.horas=0,"",IFERROR(_xlpm.horas/_xlpm.capacidad,"")))</f>
        <v/>
      </c>
      <c r="Q32" s="34">
        <f>_xlfn.LET(_xlpm.horas,K32,_xlpm.feriados,IF($H32="CO",FER_CO,FER_EC),_xlpm.capacidad,NETWORKDAYS(K$3,K$4,_xlpm.feriados)*INDEX(Consultores!$C$6:$C$65,MATCH($A32,Consultores!$A$6:$A$65,0)),IF(_xlpm.horas=0,"",IFERROR(_xlpm.horas/_xlpm.capacidad,"")))</f>
        <v/>
      </c>
      <c r="R32" s="34">
        <f>_xlfn.LET(_xlpm.horas,L32,_xlpm.feriados,IF($H32="CO",FER_CO,FER_EC),_xlpm.capacidad,NETWORKDAYS(L$3,L$4,_xlpm.feriados)*INDEX(Consultores!$C$6:$C$65,MATCH($A32,Consultores!$A$6:$A$65,0)),IF(_xlpm.horas=0,"",IFERROR(_xlpm.horas/_xlpm.capacidad,"")))</f>
        <v/>
      </c>
      <c r="S32" s="34">
        <f>_xlfn.LET(_xlpm.horas,M32,_xlpm.feriados,IF($H32="CO",FER_CO,FER_EC),_xlpm.capacidad,NETWORKDAYS(M$3,M$4,_xlpm.feriados)*INDEX(Consultores!$C$6:$C$65,MATCH($A32,Consultores!$A$6:$A$65,0)),IF(_xlpm.horas=0,"",IFERROR(_xlpm.horas/_xlpm.capacidad,"")))</f>
        <v/>
      </c>
      <c r="T32" s="34">
        <f>_xlfn.LET(_xlpm.horas,N32,_xlpm.feriados,IF($H32="CO",FER_CO,FER_EC),_xlpm.capacidad,NETWORKDAYS(N$3,N$4,_xlpm.feriados)*INDEX(Consultores!$C$6:$C$65,MATCH($A32,Consultores!$A$6:$A$65,0)),IF(_xlpm.horas=0,"",IFERROR(_xlpm.horas/_xlpm.capacidad,"")))</f>
        <v/>
      </c>
      <c r="U32" s="34">
        <f>_xlfn.LET(_xlpm.horas,O32,_xlpm.feriados,IF($H32="CO",FER_CO,FER_EC),_xlpm.capacidad,NETWORKDAYS(O$3,O$4,_xlpm.feriados)*INDEX(Consultores!$C$6:$C$65,MATCH($A32,Consultores!$A$6:$A$65,0)),IF(_xlpm.horas=0,"",IFERROR(_xlpm.horas/_xlpm.capacidad,"")))</f>
        <v/>
      </c>
    </row>
    <row r="33">
      <c r="A33" s="25" t="n"/>
      <c r="B33" s="25" t="n"/>
      <c r="C33" s="25" t="n"/>
      <c r="D33" s="30" t="n"/>
      <c r="E33" s="30" t="n"/>
      <c r="F33" s="26" t="n"/>
      <c r="G33" s="25" t="n"/>
      <c r="H33" s="31">
        <f>IF($A33="","",IFERROR(INDEX(Consultores!$B$6:$B$65,MATCH($A33,Consultores!$A$6:$A$65,0)),"No existe"))</f>
        <v/>
      </c>
      <c r="I33" s="32">
        <f>IF($F33="",0,$F33/5)</f>
        <v/>
      </c>
      <c r="J33" s="33">
        <f>_xlfn.LET(_xlpm.inicio,MAX($D33,J$3),_xlpm.fin,MIN($E33,J$4),_xlpm.feriados,IF($H33="CO",FER_CO,FER_EC),_xlpm.dias,IF(_xlpm.inicio&gt;_xlpm.fin,0,NETWORKDAYS(_xlpm.inicio,_xlpm.fin,_xlpm.feriados)),_xlpm.factor,IF($G33="Probable",IF(Parametros!$B$6="Sí",1,0),1),IF(OR($A33="",$D33="",$E33=""),0,_xlpm.dias*$I33*_xlpm.factor))</f>
        <v/>
      </c>
      <c r="K33" s="33">
        <f>_xlfn.LET(_xlpm.inicio,MAX($D33,K$3),_xlpm.fin,MIN($E33,K$4),_xlpm.feriados,IF($H33="CO",FER_CO,FER_EC),_xlpm.dias,IF(_xlpm.inicio&gt;_xlpm.fin,0,NETWORKDAYS(_xlpm.inicio,_xlpm.fin,_xlpm.feriados)),_xlpm.factor,IF($G33="Probable",IF(Parametros!$B$6="Sí",1,0),1),IF(OR($A33="",$D33="",$E33=""),0,_xlpm.dias*$I33*_xlpm.factor))</f>
        <v/>
      </c>
      <c r="L33" s="33">
        <f>_xlfn.LET(_xlpm.inicio,MAX($D33,L$3),_xlpm.fin,MIN($E33,L$4),_xlpm.feriados,IF($H33="CO",FER_CO,FER_EC),_xlpm.dias,IF(_xlpm.inicio&gt;_xlpm.fin,0,NETWORKDAYS(_xlpm.inicio,_xlpm.fin,_xlpm.feriados)),_xlpm.factor,IF($G33="Probable",IF(Parametros!$B$6="Sí",1,0),1),IF(OR($A33="",$D33="",$E33=""),0,_xlpm.dias*$I33*_xlpm.factor))</f>
        <v/>
      </c>
      <c r="M33" s="33">
        <f>_xlfn.LET(_xlpm.inicio,MAX($D33,M$3),_xlpm.fin,MIN($E33,M$4),_xlpm.feriados,IF($H33="CO",FER_CO,FER_EC),_xlpm.dias,IF(_xlpm.inicio&gt;_xlpm.fin,0,NETWORKDAYS(_xlpm.inicio,_xlpm.fin,_xlpm.feriados)),_xlpm.factor,IF($G33="Probable",IF(Parametros!$B$6="Sí",1,0),1),IF(OR($A33="",$D33="",$E33=""),0,_xlpm.dias*$I33*_xlpm.factor))</f>
        <v/>
      </c>
      <c r="N33" s="33">
        <f>_xlfn.LET(_xlpm.inicio,MAX($D33,N$3),_xlpm.fin,MIN($E33,N$4),_xlpm.feriados,IF($H33="CO",FER_CO,FER_EC),_xlpm.dias,IF(_xlpm.inicio&gt;_xlpm.fin,0,NETWORKDAYS(_xlpm.inicio,_xlpm.fin,_xlpm.feriados)),_xlpm.factor,IF($G33="Probable",IF(Parametros!$B$6="Sí",1,0),1),IF(OR($A33="",$D33="",$E33=""),0,_xlpm.dias*$I33*_xlpm.factor))</f>
        <v/>
      </c>
      <c r="O33" s="33">
        <f>_xlfn.LET(_xlpm.inicio,MAX($D33,O$3),_xlpm.fin,MIN($E33,O$4),_xlpm.feriados,IF($H33="CO",FER_CO,FER_EC),_xlpm.dias,IF(_xlpm.inicio&gt;_xlpm.fin,0,NETWORKDAYS(_xlpm.inicio,_xlpm.fin,_xlpm.feriados)),_xlpm.factor,IF($G33="Probable",IF(Parametros!$B$6="Sí",1,0),1),IF(OR($A33="",$D33="",$E33=""),0,_xlpm.dias*$I33*_xlpm.factor))</f>
        <v/>
      </c>
      <c r="P33" s="34">
        <f>_xlfn.LET(_xlpm.horas,J33,_xlpm.feriados,IF($H33="CO",FER_CO,FER_EC),_xlpm.capacidad,NETWORKDAYS(J$3,J$4,_xlpm.feriados)*INDEX(Consultores!$C$6:$C$65,MATCH($A33,Consultores!$A$6:$A$65,0)),IF(_xlpm.horas=0,"",IFERROR(_xlpm.horas/_xlpm.capacidad,"")))</f>
        <v/>
      </c>
      <c r="Q33" s="34">
        <f>_xlfn.LET(_xlpm.horas,K33,_xlpm.feriados,IF($H33="CO",FER_CO,FER_EC),_xlpm.capacidad,NETWORKDAYS(K$3,K$4,_xlpm.feriados)*INDEX(Consultores!$C$6:$C$65,MATCH($A33,Consultores!$A$6:$A$65,0)),IF(_xlpm.horas=0,"",IFERROR(_xlpm.horas/_xlpm.capacidad,"")))</f>
        <v/>
      </c>
      <c r="R33" s="34">
        <f>_xlfn.LET(_xlpm.horas,L33,_xlpm.feriados,IF($H33="CO",FER_CO,FER_EC),_xlpm.capacidad,NETWORKDAYS(L$3,L$4,_xlpm.feriados)*INDEX(Consultores!$C$6:$C$65,MATCH($A33,Consultores!$A$6:$A$65,0)),IF(_xlpm.horas=0,"",IFERROR(_xlpm.horas/_xlpm.capacidad,"")))</f>
        <v/>
      </c>
      <c r="S33" s="34">
        <f>_xlfn.LET(_xlpm.horas,M33,_xlpm.feriados,IF($H33="CO",FER_CO,FER_EC),_xlpm.capacidad,NETWORKDAYS(M$3,M$4,_xlpm.feriados)*INDEX(Consultores!$C$6:$C$65,MATCH($A33,Consultores!$A$6:$A$65,0)),IF(_xlpm.horas=0,"",IFERROR(_xlpm.horas/_xlpm.capacidad,"")))</f>
        <v/>
      </c>
      <c r="T33" s="34">
        <f>_xlfn.LET(_xlpm.horas,N33,_xlpm.feriados,IF($H33="CO",FER_CO,FER_EC),_xlpm.capacidad,NETWORKDAYS(N$3,N$4,_xlpm.feriados)*INDEX(Consultores!$C$6:$C$65,MATCH($A33,Consultores!$A$6:$A$65,0)),IF(_xlpm.horas=0,"",IFERROR(_xlpm.horas/_xlpm.capacidad,"")))</f>
        <v/>
      </c>
      <c r="U33" s="34">
        <f>_xlfn.LET(_xlpm.horas,O33,_xlpm.feriados,IF($H33="CO",FER_CO,FER_EC),_xlpm.capacidad,NETWORKDAYS(O$3,O$4,_xlpm.feriados)*INDEX(Consultores!$C$6:$C$65,MATCH($A33,Consultores!$A$6:$A$65,0)),IF(_xlpm.horas=0,"",IFERROR(_xlpm.horas/_xlpm.capacidad,"")))</f>
        <v/>
      </c>
    </row>
    <row r="34">
      <c r="A34" s="25" t="n"/>
      <c r="B34" s="25" t="n"/>
      <c r="C34" s="25" t="n"/>
      <c r="D34" s="30" t="n"/>
      <c r="E34" s="30" t="n"/>
      <c r="F34" s="26" t="n"/>
      <c r="G34" s="25" t="n"/>
      <c r="H34" s="31">
        <f>IF($A34="","",IFERROR(INDEX(Consultores!$B$6:$B$65,MATCH($A34,Consultores!$A$6:$A$65,0)),"No existe"))</f>
        <v/>
      </c>
      <c r="I34" s="32">
        <f>IF($F34="",0,$F34/5)</f>
        <v/>
      </c>
      <c r="J34" s="33">
        <f>_xlfn.LET(_xlpm.inicio,MAX($D34,J$3),_xlpm.fin,MIN($E34,J$4),_xlpm.feriados,IF($H34="CO",FER_CO,FER_EC),_xlpm.dias,IF(_xlpm.inicio&gt;_xlpm.fin,0,NETWORKDAYS(_xlpm.inicio,_xlpm.fin,_xlpm.feriados)),_xlpm.factor,IF($G34="Probable",IF(Parametros!$B$6="Sí",1,0),1),IF(OR($A34="",$D34="",$E34=""),0,_xlpm.dias*$I34*_xlpm.factor))</f>
        <v/>
      </c>
      <c r="K34" s="33">
        <f>_xlfn.LET(_xlpm.inicio,MAX($D34,K$3),_xlpm.fin,MIN($E34,K$4),_xlpm.feriados,IF($H34="CO",FER_CO,FER_EC),_xlpm.dias,IF(_xlpm.inicio&gt;_xlpm.fin,0,NETWORKDAYS(_xlpm.inicio,_xlpm.fin,_xlpm.feriados)),_xlpm.factor,IF($G34="Probable",IF(Parametros!$B$6="Sí",1,0),1),IF(OR($A34="",$D34="",$E34=""),0,_xlpm.dias*$I34*_xlpm.factor))</f>
        <v/>
      </c>
      <c r="L34" s="33">
        <f>_xlfn.LET(_xlpm.inicio,MAX($D34,L$3),_xlpm.fin,MIN($E34,L$4),_xlpm.feriados,IF($H34="CO",FER_CO,FER_EC),_xlpm.dias,IF(_xlpm.inicio&gt;_xlpm.fin,0,NETWORKDAYS(_xlpm.inicio,_xlpm.fin,_xlpm.feriados)),_xlpm.factor,IF($G34="Probable",IF(Parametros!$B$6="Sí",1,0),1),IF(OR($A34="",$D34="",$E34=""),0,_xlpm.dias*$I34*_xlpm.factor))</f>
        <v/>
      </c>
      <c r="M34" s="33">
        <f>_xlfn.LET(_xlpm.inicio,MAX($D34,M$3),_xlpm.fin,MIN($E34,M$4),_xlpm.feriados,IF($H34="CO",FER_CO,FER_EC),_xlpm.dias,IF(_xlpm.inicio&gt;_xlpm.fin,0,NETWORKDAYS(_xlpm.inicio,_xlpm.fin,_xlpm.feriados)),_xlpm.factor,IF($G34="Probable",IF(Parametros!$B$6="Sí",1,0),1),IF(OR($A34="",$D34="",$E34=""),0,_xlpm.dias*$I34*_xlpm.factor))</f>
        <v/>
      </c>
      <c r="N34" s="33">
        <f>_xlfn.LET(_xlpm.inicio,MAX($D34,N$3),_xlpm.fin,MIN($E34,N$4),_xlpm.feriados,IF($H34="CO",FER_CO,FER_EC),_xlpm.dias,IF(_xlpm.inicio&gt;_xlpm.fin,0,NETWORKDAYS(_xlpm.inicio,_xlpm.fin,_xlpm.feriados)),_xlpm.factor,IF($G34="Probable",IF(Parametros!$B$6="Sí",1,0),1),IF(OR($A34="",$D34="",$E34=""),0,_xlpm.dias*$I34*_xlpm.factor))</f>
        <v/>
      </c>
      <c r="O34" s="33">
        <f>_xlfn.LET(_xlpm.inicio,MAX($D34,O$3),_xlpm.fin,MIN($E34,O$4),_xlpm.feriados,IF($H34="CO",FER_CO,FER_EC),_xlpm.dias,IF(_xlpm.inicio&gt;_xlpm.fin,0,NETWORKDAYS(_xlpm.inicio,_xlpm.fin,_xlpm.feriados)),_xlpm.factor,IF($G34="Probable",IF(Parametros!$B$6="Sí",1,0),1),IF(OR($A34="",$D34="",$E34=""),0,_xlpm.dias*$I34*_xlpm.factor))</f>
        <v/>
      </c>
      <c r="P34" s="34">
        <f>_xlfn.LET(_xlpm.horas,J34,_xlpm.feriados,IF($H34="CO",FER_CO,FER_EC),_xlpm.capacidad,NETWORKDAYS(J$3,J$4,_xlpm.feriados)*INDEX(Consultores!$C$6:$C$65,MATCH($A34,Consultores!$A$6:$A$65,0)),IF(_xlpm.horas=0,"",IFERROR(_xlpm.horas/_xlpm.capacidad,"")))</f>
        <v/>
      </c>
      <c r="Q34" s="34">
        <f>_xlfn.LET(_xlpm.horas,K34,_xlpm.feriados,IF($H34="CO",FER_CO,FER_EC),_xlpm.capacidad,NETWORKDAYS(K$3,K$4,_xlpm.feriados)*INDEX(Consultores!$C$6:$C$65,MATCH($A34,Consultores!$A$6:$A$65,0)),IF(_xlpm.horas=0,"",IFERROR(_xlpm.horas/_xlpm.capacidad,"")))</f>
        <v/>
      </c>
      <c r="R34" s="34">
        <f>_xlfn.LET(_xlpm.horas,L34,_xlpm.feriados,IF($H34="CO",FER_CO,FER_EC),_xlpm.capacidad,NETWORKDAYS(L$3,L$4,_xlpm.feriados)*INDEX(Consultores!$C$6:$C$65,MATCH($A34,Consultores!$A$6:$A$65,0)),IF(_xlpm.horas=0,"",IFERROR(_xlpm.horas/_xlpm.capacidad,"")))</f>
        <v/>
      </c>
      <c r="S34" s="34">
        <f>_xlfn.LET(_xlpm.horas,M34,_xlpm.feriados,IF($H34="CO",FER_CO,FER_EC),_xlpm.capacidad,NETWORKDAYS(M$3,M$4,_xlpm.feriados)*INDEX(Consultores!$C$6:$C$65,MATCH($A34,Consultores!$A$6:$A$65,0)),IF(_xlpm.horas=0,"",IFERROR(_xlpm.horas/_xlpm.capacidad,"")))</f>
        <v/>
      </c>
      <c r="T34" s="34">
        <f>_xlfn.LET(_xlpm.horas,N34,_xlpm.feriados,IF($H34="CO",FER_CO,FER_EC),_xlpm.capacidad,NETWORKDAYS(N$3,N$4,_xlpm.feriados)*INDEX(Consultores!$C$6:$C$65,MATCH($A34,Consultores!$A$6:$A$65,0)),IF(_xlpm.horas=0,"",IFERROR(_xlpm.horas/_xlpm.capacidad,"")))</f>
        <v/>
      </c>
      <c r="U34" s="34">
        <f>_xlfn.LET(_xlpm.horas,O34,_xlpm.feriados,IF($H34="CO",FER_CO,FER_EC),_xlpm.capacidad,NETWORKDAYS(O$3,O$4,_xlpm.feriados)*INDEX(Consultores!$C$6:$C$65,MATCH($A34,Consultores!$A$6:$A$65,0)),IF(_xlpm.horas=0,"",IFERROR(_xlpm.horas/_xlpm.capacidad,"")))</f>
        <v/>
      </c>
    </row>
    <row r="35">
      <c r="A35" s="25" t="n"/>
      <c r="B35" s="25" t="n"/>
      <c r="C35" s="25" t="n"/>
      <c r="D35" s="30" t="n"/>
      <c r="E35" s="30" t="n"/>
      <c r="F35" s="26" t="n"/>
      <c r="G35" s="25" t="n"/>
      <c r="H35" s="31">
        <f>IF($A35="","",IFERROR(INDEX(Consultores!$B$6:$B$65,MATCH($A35,Consultores!$A$6:$A$65,0)),"No existe"))</f>
        <v/>
      </c>
      <c r="I35" s="32">
        <f>IF($F35="",0,$F35/5)</f>
        <v/>
      </c>
      <c r="J35" s="33">
        <f>_xlfn.LET(_xlpm.inicio,MAX($D35,J$3),_xlpm.fin,MIN($E35,J$4),_xlpm.feriados,IF($H35="CO",FER_CO,FER_EC),_xlpm.dias,IF(_xlpm.inicio&gt;_xlpm.fin,0,NETWORKDAYS(_xlpm.inicio,_xlpm.fin,_xlpm.feriados)),_xlpm.factor,IF($G35="Probable",IF(Parametros!$B$6="Sí",1,0),1),IF(OR($A35="",$D35="",$E35=""),0,_xlpm.dias*$I35*_xlpm.factor))</f>
        <v/>
      </c>
      <c r="K35" s="33">
        <f>_xlfn.LET(_xlpm.inicio,MAX($D35,K$3),_xlpm.fin,MIN($E35,K$4),_xlpm.feriados,IF($H35="CO",FER_CO,FER_EC),_xlpm.dias,IF(_xlpm.inicio&gt;_xlpm.fin,0,NETWORKDAYS(_xlpm.inicio,_xlpm.fin,_xlpm.feriados)),_xlpm.factor,IF($G35="Probable",IF(Parametros!$B$6="Sí",1,0),1),IF(OR($A35="",$D35="",$E35=""),0,_xlpm.dias*$I35*_xlpm.factor))</f>
        <v/>
      </c>
      <c r="L35" s="33">
        <f>_xlfn.LET(_xlpm.inicio,MAX($D35,L$3),_xlpm.fin,MIN($E35,L$4),_xlpm.feriados,IF($H35="CO",FER_CO,FER_EC),_xlpm.dias,IF(_xlpm.inicio&gt;_xlpm.fin,0,NETWORKDAYS(_xlpm.inicio,_xlpm.fin,_xlpm.feriados)),_xlpm.factor,IF($G35="Probable",IF(Parametros!$B$6="Sí",1,0),1),IF(OR($A35="",$D35="",$E35=""),0,_xlpm.dias*$I35*_xlpm.factor))</f>
        <v/>
      </c>
      <c r="M35" s="33">
        <f>_xlfn.LET(_xlpm.inicio,MAX($D35,M$3),_xlpm.fin,MIN($E35,M$4),_xlpm.feriados,IF($H35="CO",FER_CO,FER_EC),_xlpm.dias,IF(_xlpm.inicio&gt;_xlpm.fin,0,NETWORKDAYS(_xlpm.inicio,_xlpm.fin,_xlpm.feriados)),_xlpm.factor,IF($G35="Probable",IF(Parametros!$B$6="Sí",1,0),1),IF(OR($A35="",$D35="",$E35=""),0,_xlpm.dias*$I35*_xlpm.factor))</f>
        <v/>
      </c>
      <c r="N35" s="33">
        <f>_xlfn.LET(_xlpm.inicio,MAX($D35,N$3),_xlpm.fin,MIN($E35,N$4),_xlpm.feriados,IF($H35="CO",FER_CO,FER_EC),_xlpm.dias,IF(_xlpm.inicio&gt;_xlpm.fin,0,NETWORKDAYS(_xlpm.inicio,_xlpm.fin,_xlpm.feriados)),_xlpm.factor,IF($G35="Probable",IF(Parametros!$B$6="Sí",1,0),1),IF(OR($A35="",$D35="",$E35=""),0,_xlpm.dias*$I35*_xlpm.factor))</f>
        <v/>
      </c>
      <c r="O35" s="33">
        <f>_xlfn.LET(_xlpm.inicio,MAX($D35,O$3),_xlpm.fin,MIN($E35,O$4),_xlpm.feriados,IF($H35="CO",FER_CO,FER_EC),_xlpm.dias,IF(_xlpm.inicio&gt;_xlpm.fin,0,NETWORKDAYS(_xlpm.inicio,_xlpm.fin,_xlpm.feriados)),_xlpm.factor,IF($G35="Probable",IF(Parametros!$B$6="Sí",1,0),1),IF(OR($A35="",$D35="",$E35=""),0,_xlpm.dias*$I35*_xlpm.factor))</f>
        <v/>
      </c>
      <c r="P35" s="34">
        <f>_xlfn.LET(_xlpm.horas,J35,_xlpm.feriados,IF($H35="CO",FER_CO,FER_EC),_xlpm.capacidad,NETWORKDAYS(J$3,J$4,_xlpm.feriados)*INDEX(Consultores!$C$6:$C$65,MATCH($A35,Consultores!$A$6:$A$65,0)),IF(_xlpm.horas=0,"",IFERROR(_xlpm.horas/_xlpm.capacidad,"")))</f>
        <v/>
      </c>
      <c r="Q35" s="34">
        <f>_xlfn.LET(_xlpm.horas,K35,_xlpm.feriados,IF($H35="CO",FER_CO,FER_EC),_xlpm.capacidad,NETWORKDAYS(K$3,K$4,_xlpm.feriados)*INDEX(Consultores!$C$6:$C$65,MATCH($A35,Consultores!$A$6:$A$65,0)),IF(_xlpm.horas=0,"",IFERROR(_xlpm.horas/_xlpm.capacidad,"")))</f>
        <v/>
      </c>
      <c r="R35" s="34">
        <f>_xlfn.LET(_xlpm.horas,L35,_xlpm.feriados,IF($H35="CO",FER_CO,FER_EC),_xlpm.capacidad,NETWORKDAYS(L$3,L$4,_xlpm.feriados)*INDEX(Consultores!$C$6:$C$65,MATCH($A35,Consultores!$A$6:$A$65,0)),IF(_xlpm.horas=0,"",IFERROR(_xlpm.horas/_xlpm.capacidad,"")))</f>
        <v/>
      </c>
      <c r="S35" s="34">
        <f>_xlfn.LET(_xlpm.horas,M35,_xlpm.feriados,IF($H35="CO",FER_CO,FER_EC),_xlpm.capacidad,NETWORKDAYS(M$3,M$4,_xlpm.feriados)*INDEX(Consultores!$C$6:$C$65,MATCH($A35,Consultores!$A$6:$A$65,0)),IF(_xlpm.horas=0,"",IFERROR(_xlpm.horas/_xlpm.capacidad,"")))</f>
        <v/>
      </c>
      <c r="T35" s="34">
        <f>_xlfn.LET(_xlpm.horas,N35,_xlpm.feriados,IF($H35="CO",FER_CO,FER_EC),_xlpm.capacidad,NETWORKDAYS(N$3,N$4,_xlpm.feriados)*INDEX(Consultores!$C$6:$C$65,MATCH($A35,Consultores!$A$6:$A$65,0)),IF(_xlpm.horas=0,"",IFERROR(_xlpm.horas/_xlpm.capacidad,"")))</f>
        <v/>
      </c>
      <c r="U35" s="34">
        <f>_xlfn.LET(_xlpm.horas,O35,_xlpm.feriados,IF($H35="CO",FER_CO,FER_EC),_xlpm.capacidad,NETWORKDAYS(O$3,O$4,_xlpm.feriados)*INDEX(Consultores!$C$6:$C$65,MATCH($A35,Consultores!$A$6:$A$65,0)),IF(_xlpm.horas=0,"",IFERROR(_xlpm.horas/_xlpm.capacidad,"")))</f>
        <v/>
      </c>
    </row>
    <row r="36">
      <c r="A36" s="25" t="n"/>
      <c r="B36" s="25" t="n"/>
      <c r="C36" s="25" t="n"/>
      <c r="D36" s="30" t="n"/>
      <c r="E36" s="30" t="n"/>
      <c r="F36" s="26" t="n"/>
      <c r="G36" s="25" t="n"/>
      <c r="H36" s="31">
        <f>IF($A36="","",IFERROR(INDEX(Consultores!$B$6:$B$65,MATCH($A36,Consultores!$A$6:$A$65,0)),"No existe"))</f>
        <v/>
      </c>
      <c r="I36" s="32">
        <f>IF($F36="",0,$F36/5)</f>
        <v/>
      </c>
      <c r="J36" s="33">
        <f>_xlfn.LET(_xlpm.inicio,MAX($D36,J$3),_xlpm.fin,MIN($E36,J$4),_xlpm.feriados,IF($H36="CO",FER_CO,FER_EC),_xlpm.dias,IF(_xlpm.inicio&gt;_xlpm.fin,0,NETWORKDAYS(_xlpm.inicio,_xlpm.fin,_xlpm.feriados)),_xlpm.factor,IF($G36="Probable",IF(Parametros!$B$6="Sí",1,0),1),IF(OR($A36="",$D36="",$E36=""),0,_xlpm.dias*$I36*_xlpm.factor))</f>
        <v/>
      </c>
      <c r="K36" s="33">
        <f>_xlfn.LET(_xlpm.inicio,MAX($D36,K$3),_xlpm.fin,MIN($E36,K$4),_xlpm.feriados,IF($H36="CO",FER_CO,FER_EC),_xlpm.dias,IF(_xlpm.inicio&gt;_xlpm.fin,0,NETWORKDAYS(_xlpm.inicio,_xlpm.fin,_xlpm.feriados)),_xlpm.factor,IF($G36="Probable",IF(Parametros!$B$6="Sí",1,0),1),IF(OR($A36="",$D36="",$E36=""),0,_xlpm.dias*$I36*_xlpm.factor))</f>
        <v/>
      </c>
      <c r="L36" s="33">
        <f>_xlfn.LET(_xlpm.inicio,MAX($D36,L$3),_xlpm.fin,MIN($E36,L$4),_xlpm.feriados,IF($H36="CO",FER_CO,FER_EC),_xlpm.dias,IF(_xlpm.inicio&gt;_xlpm.fin,0,NETWORKDAYS(_xlpm.inicio,_xlpm.fin,_xlpm.feriados)),_xlpm.factor,IF($G36="Probable",IF(Parametros!$B$6="Sí",1,0),1),IF(OR($A36="",$D36="",$E36=""),0,_xlpm.dias*$I36*_xlpm.factor))</f>
        <v/>
      </c>
      <c r="M36" s="33">
        <f>_xlfn.LET(_xlpm.inicio,MAX($D36,M$3),_xlpm.fin,MIN($E36,M$4),_xlpm.feriados,IF($H36="CO",FER_CO,FER_EC),_xlpm.dias,IF(_xlpm.inicio&gt;_xlpm.fin,0,NETWORKDAYS(_xlpm.inicio,_xlpm.fin,_xlpm.feriados)),_xlpm.factor,IF($G36="Probable",IF(Parametros!$B$6="Sí",1,0),1),IF(OR($A36="",$D36="",$E36=""),0,_xlpm.dias*$I36*_xlpm.factor))</f>
        <v/>
      </c>
      <c r="N36" s="33">
        <f>_xlfn.LET(_xlpm.inicio,MAX($D36,N$3),_xlpm.fin,MIN($E36,N$4),_xlpm.feriados,IF($H36="CO",FER_CO,FER_EC),_xlpm.dias,IF(_xlpm.inicio&gt;_xlpm.fin,0,NETWORKDAYS(_xlpm.inicio,_xlpm.fin,_xlpm.feriados)),_xlpm.factor,IF($G36="Probable",IF(Parametros!$B$6="Sí",1,0),1),IF(OR($A36="",$D36="",$E36=""),0,_xlpm.dias*$I36*_xlpm.factor))</f>
        <v/>
      </c>
      <c r="O36" s="33">
        <f>_xlfn.LET(_xlpm.inicio,MAX($D36,O$3),_xlpm.fin,MIN($E36,O$4),_xlpm.feriados,IF($H36="CO",FER_CO,FER_EC),_xlpm.dias,IF(_xlpm.inicio&gt;_xlpm.fin,0,NETWORKDAYS(_xlpm.inicio,_xlpm.fin,_xlpm.feriados)),_xlpm.factor,IF($G36="Probable",IF(Parametros!$B$6="Sí",1,0),1),IF(OR($A36="",$D36="",$E36=""),0,_xlpm.dias*$I36*_xlpm.factor))</f>
        <v/>
      </c>
      <c r="P36" s="34">
        <f>_xlfn.LET(_xlpm.horas,J36,_xlpm.feriados,IF($H36="CO",FER_CO,FER_EC),_xlpm.capacidad,NETWORKDAYS(J$3,J$4,_xlpm.feriados)*INDEX(Consultores!$C$6:$C$65,MATCH($A36,Consultores!$A$6:$A$65,0)),IF(_xlpm.horas=0,"",IFERROR(_xlpm.horas/_xlpm.capacidad,"")))</f>
        <v/>
      </c>
      <c r="Q36" s="34">
        <f>_xlfn.LET(_xlpm.horas,K36,_xlpm.feriados,IF($H36="CO",FER_CO,FER_EC),_xlpm.capacidad,NETWORKDAYS(K$3,K$4,_xlpm.feriados)*INDEX(Consultores!$C$6:$C$65,MATCH($A36,Consultores!$A$6:$A$65,0)),IF(_xlpm.horas=0,"",IFERROR(_xlpm.horas/_xlpm.capacidad,"")))</f>
        <v/>
      </c>
      <c r="R36" s="34">
        <f>_xlfn.LET(_xlpm.horas,L36,_xlpm.feriados,IF($H36="CO",FER_CO,FER_EC),_xlpm.capacidad,NETWORKDAYS(L$3,L$4,_xlpm.feriados)*INDEX(Consultores!$C$6:$C$65,MATCH($A36,Consultores!$A$6:$A$65,0)),IF(_xlpm.horas=0,"",IFERROR(_xlpm.horas/_xlpm.capacidad,"")))</f>
        <v/>
      </c>
      <c r="S36" s="34">
        <f>_xlfn.LET(_xlpm.horas,M36,_xlpm.feriados,IF($H36="CO",FER_CO,FER_EC),_xlpm.capacidad,NETWORKDAYS(M$3,M$4,_xlpm.feriados)*INDEX(Consultores!$C$6:$C$65,MATCH($A36,Consultores!$A$6:$A$65,0)),IF(_xlpm.horas=0,"",IFERROR(_xlpm.horas/_xlpm.capacidad,"")))</f>
        <v/>
      </c>
      <c r="T36" s="34">
        <f>_xlfn.LET(_xlpm.horas,N36,_xlpm.feriados,IF($H36="CO",FER_CO,FER_EC),_xlpm.capacidad,NETWORKDAYS(N$3,N$4,_xlpm.feriados)*INDEX(Consultores!$C$6:$C$65,MATCH($A36,Consultores!$A$6:$A$65,0)),IF(_xlpm.horas=0,"",IFERROR(_xlpm.horas/_xlpm.capacidad,"")))</f>
        <v/>
      </c>
      <c r="U36" s="34">
        <f>_xlfn.LET(_xlpm.horas,O36,_xlpm.feriados,IF($H36="CO",FER_CO,FER_EC),_xlpm.capacidad,NETWORKDAYS(O$3,O$4,_xlpm.feriados)*INDEX(Consultores!$C$6:$C$65,MATCH($A36,Consultores!$A$6:$A$65,0)),IF(_xlpm.horas=0,"",IFERROR(_xlpm.horas/_xlpm.capacidad,"")))</f>
        <v/>
      </c>
    </row>
    <row r="37">
      <c r="A37" s="25" t="n"/>
      <c r="B37" s="25" t="n"/>
      <c r="C37" s="25" t="n"/>
      <c r="D37" s="30" t="n"/>
      <c r="E37" s="30" t="n"/>
      <c r="F37" s="26" t="n"/>
      <c r="G37" s="25" t="n"/>
      <c r="H37" s="31">
        <f>IF($A37="","",IFERROR(INDEX(Consultores!$B$6:$B$65,MATCH($A37,Consultores!$A$6:$A$65,0)),"No existe"))</f>
        <v/>
      </c>
      <c r="I37" s="32">
        <f>IF($F37="",0,$F37/5)</f>
        <v/>
      </c>
      <c r="J37" s="33">
        <f>_xlfn.LET(_xlpm.inicio,MAX($D37,J$3),_xlpm.fin,MIN($E37,J$4),_xlpm.feriados,IF($H37="CO",FER_CO,FER_EC),_xlpm.dias,IF(_xlpm.inicio&gt;_xlpm.fin,0,NETWORKDAYS(_xlpm.inicio,_xlpm.fin,_xlpm.feriados)),_xlpm.factor,IF($G37="Probable",IF(Parametros!$B$6="Sí",1,0),1),IF(OR($A37="",$D37="",$E37=""),0,_xlpm.dias*$I37*_xlpm.factor))</f>
        <v/>
      </c>
      <c r="K37" s="33">
        <f>_xlfn.LET(_xlpm.inicio,MAX($D37,K$3),_xlpm.fin,MIN($E37,K$4),_xlpm.feriados,IF($H37="CO",FER_CO,FER_EC),_xlpm.dias,IF(_xlpm.inicio&gt;_xlpm.fin,0,NETWORKDAYS(_xlpm.inicio,_xlpm.fin,_xlpm.feriados)),_xlpm.factor,IF($G37="Probable",IF(Parametros!$B$6="Sí",1,0),1),IF(OR($A37="",$D37="",$E37=""),0,_xlpm.dias*$I37*_xlpm.factor))</f>
        <v/>
      </c>
      <c r="L37" s="33">
        <f>_xlfn.LET(_xlpm.inicio,MAX($D37,L$3),_xlpm.fin,MIN($E37,L$4),_xlpm.feriados,IF($H37="CO",FER_CO,FER_EC),_xlpm.dias,IF(_xlpm.inicio&gt;_xlpm.fin,0,NETWORKDAYS(_xlpm.inicio,_xlpm.fin,_xlpm.feriados)),_xlpm.factor,IF($G37="Probable",IF(Parametros!$B$6="Sí",1,0),1),IF(OR($A37="",$D37="",$E37=""),0,_xlpm.dias*$I37*_xlpm.factor))</f>
        <v/>
      </c>
      <c r="M37" s="33">
        <f>_xlfn.LET(_xlpm.inicio,MAX($D37,M$3),_xlpm.fin,MIN($E37,M$4),_xlpm.feriados,IF($H37="CO",FER_CO,FER_EC),_xlpm.dias,IF(_xlpm.inicio&gt;_xlpm.fin,0,NETWORKDAYS(_xlpm.inicio,_xlpm.fin,_xlpm.feriados)),_xlpm.factor,IF($G37="Probable",IF(Parametros!$B$6="Sí",1,0),1),IF(OR($A37="",$D37="",$E37=""),0,_xlpm.dias*$I37*_xlpm.factor))</f>
        <v/>
      </c>
      <c r="N37" s="33">
        <f>_xlfn.LET(_xlpm.inicio,MAX($D37,N$3),_xlpm.fin,MIN($E37,N$4),_xlpm.feriados,IF($H37="CO",FER_CO,FER_EC),_xlpm.dias,IF(_xlpm.inicio&gt;_xlpm.fin,0,NETWORKDAYS(_xlpm.inicio,_xlpm.fin,_xlpm.feriados)),_xlpm.factor,IF($G37="Probable",IF(Parametros!$B$6="Sí",1,0),1),IF(OR($A37="",$D37="",$E37=""),0,_xlpm.dias*$I37*_xlpm.factor))</f>
        <v/>
      </c>
      <c r="O37" s="33">
        <f>_xlfn.LET(_xlpm.inicio,MAX($D37,O$3),_xlpm.fin,MIN($E37,O$4),_xlpm.feriados,IF($H37="CO",FER_CO,FER_EC),_xlpm.dias,IF(_xlpm.inicio&gt;_xlpm.fin,0,NETWORKDAYS(_xlpm.inicio,_xlpm.fin,_xlpm.feriados)),_xlpm.factor,IF($G37="Probable",IF(Parametros!$B$6="Sí",1,0),1),IF(OR($A37="",$D37="",$E37=""),0,_xlpm.dias*$I37*_xlpm.factor))</f>
        <v/>
      </c>
      <c r="P37" s="34">
        <f>_xlfn.LET(_xlpm.horas,J37,_xlpm.feriados,IF($H37="CO",FER_CO,FER_EC),_xlpm.capacidad,NETWORKDAYS(J$3,J$4,_xlpm.feriados)*INDEX(Consultores!$C$6:$C$65,MATCH($A37,Consultores!$A$6:$A$65,0)),IF(_xlpm.horas=0,"",IFERROR(_xlpm.horas/_xlpm.capacidad,"")))</f>
        <v/>
      </c>
      <c r="Q37" s="34">
        <f>_xlfn.LET(_xlpm.horas,K37,_xlpm.feriados,IF($H37="CO",FER_CO,FER_EC),_xlpm.capacidad,NETWORKDAYS(K$3,K$4,_xlpm.feriados)*INDEX(Consultores!$C$6:$C$65,MATCH($A37,Consultores!$A$6:$A$65,0)),IF(_xlpm.horas=0,"",IFERROR(_xlpm.horas/_xlpm.capacidad,"")))</f>
        <v/>
      </c>
      <c r="R37" s="34">
        <f>_xlfn.LET(_xlpm.horas,L37,_xlpm.feriados,IF($H37="CO",FER_CO,FER_EC),_xlpm.capacidad,NETWORKDAYS(L$3,L$4,_xlpm.feriados)*INDEX(Consultores!$C$6:$C$65,MATCH($A37,Consultores!$A$6:$A$65,0)),IF(_xlpm.horas=0,"",IFERROR(_xlpm.horas/_xlpm.capacidad,"")))</f>
        <v/>
      </c>
      <c r="S37" s="34">
        <f>_xlfn.LET(_xlpm.horas,M37,_xlpm.feriados,IF($H37="CO",FER_CO,FER_EC),_xlpm.capacidad,NETWORKDAYS(M$3,M$4,_xlpm.feriados)*INDEX(Consultores!$C$6:$C$65,MATCH($A37,Consultores!$A$6:$A$65,0)),IF(_xlpm.horas=0,"",IFERROR(_xlpm.horas/_xlpm.capacidad,"")))</f>
        <v/>
      </c>
      <c r="T37" s="34">
        <f>_xlfn.LET(_xlpm.horas,N37,_xlpm.feriados,IF($H37="CO",FER_CO,FER_EC),_xlpm.capacidad,NETWORKDAYS(N$3,N$4,_xlpm.feriados)*INDEX(Consultores!$C$6:$C$65,MATCH($A37,Consultores!$A$6:$A$65,0)),IF(_xlpm.horas=0,"",IFERROR(_xlpm.horas/_xlpm.capacidad,"")))</f>
        <v/>
      </c>
      <c r="U37" s="34">
        <f>_xlfn.LET(_xlpm.horas,O37,_xlpm.feriados,IF($H37="CO",FER_CO,FER_EC),_xlpm.capacidad,NETWORKDAYS(O$3,O$4,_xlpm.feriados)*INDEX(Consultores!$C$6:$C$65,MATCH($A37,Consultores!$A$6:$A$65,0)),IF(_xlpm.horas=0,"",IFERROR(_xlpm.horas/_xlpm.capacidad,"")))</f>
        <v/>
      </c>
    </row>
    <row r="38">
      <c r="A38" s="25" t="n"/>
      <c r="B38" s="25" t="n"/>
      <c r="C38" s="25" t="n"/>
      <c r="D38" s="30" t="n"/>
      <c r="E38" s="30" t="n"/>
      <c r="F38" s="26" t="n"/>
      <c r="G38" s="25" t="n"/>
      <c r="H38" s="31">
        <f>IF($A38="","",IFERROR(INDEX(Consultores!$B$6:$B$65,MATCH($A38,Consultores!$A$6:$A$65,0)),"No existe"))</f>
        <v/>
      </c>
      <c r="I38" s="32">
        <f>IF($F38="",0,$F38/5)</f>
        <v/>
      </c>
      <c r="J38" s="33">
        <f>_xlfn.LET(_xlpm.inicio,MAX($D38,J$3),_xlpm.fin,MIN($E38,J$4),_xlpm.feriados,IF($H38="CO",FER_CO,FER_EC),_xlpm.dias,IF(_xlpm.inicio&gt;_xlpm.fin,0,NETWORKDAYS(_xlpm.inicio,_xlpm.fin,_xlpm.feriados)),_xlpm.factor,IF($G38="Probable",IF(Parametros!$B$6="Sí",1,0),1),IF(OR($A38="",$D38="",$E38=""),0,_xlpm.dias*$I38*_xlpm.factor))</f>
        <v/>
      </c>
      <c r="K38" s="33">
        <f>_xlfn.LET(_xlpm.inicio,MAX($D38,K$3),_xlpm.fin,MIN($E38,K$4),_xlpm.feriados,IF($H38="CO",FER_CO,FER_EC),_xlpm.dias,IF(_xlpm.inicio&gt;_xlpm.fin,0,NETWORKDAYS(_xlpm.inicio,_xlpm.fin,_xlpm.feriados)),_xlpm.factor,IF($G38="Probable",IF(Parametros!$B$6="Sí",1,0),1),IF(OR($A38="",$D38="",$E38=""),0,_xlpm.dias*$I38*_xlpm.factor))</f>
        <v/>
      </c>
      <c r="L38" s="33">
        <f>_xlfn.LET(_xlpm.inicio,MAX($D38,L$3),_xlpm.fin,MIN($E38,L$4),_xlpm.feriados,IF($H38="CO",FER_CO,FER_EC),_xlpm.dias,IF(_xlpm.inicio&gt;_xlpm.fin,0,NETWORKDAYS(_xlpm.inicio,_xlpm.fin,_xlpm.feriados)),_xlpm.factor,IF($G38="Probable",IF(Parametros!$B$6="Sí",1,0),1),IF(OR($A38="",$D38="",$E38=""),0,_xlpm.dias*$I38*_xlpm.factor))</f>
        <v/>
      </c>
      <c r="M38" s="33">
        <f>_xlfn.LET(_xlpm.inicio,MAX($D38,M$3),_xlpm.fin,MIN($E38,M$4),_xlpm.feriados,IF($H38="CO",FER_CO,FER_EC),_xlpm.dias,IF(_xlpm.inicio&gt;_xlpm.fin,0,NETWORKDAYS(_xlpm.inicio,_xlpm.fin,_xlpm.feriados)),_xlpm.factor,IF($G38="Probable",IF(Parametros!$B$6="Sí",1,0),1),IF(OR($A38="",$D38="",$E38=""),0,_xlpm.dias*$I38*_xlpm.factor))</f>
        <v/>
      </c>
      <c r="N38" s="33">
        <f>_xlfn.LET(_xlpm.inicio,MAX($D38,N$3),_xlpm.fin,MIN($E38,N$4),_xlpm.feriados,IF($H38="CO",FER_CO,FER_EC),_xlpm.dias,IF(_xlpm.inicio&gt;_xlpm.fin,0,NETWORKDAYS(_xlpm.inicio,_xlpm.fin,_xlpm.feriados)),_xlpm.factor,IF($G38="Probable",IF(Parametros!$B$6="Sí",1,0),1),IF(OR($A38="",$D38="",$E38=""),0,_xlpm.dias*$I38*_xlpm.factor))</f>
        <v/>
      </c>
      <c r="O38" s="33">
        <f>_xlfn.LET(_xlpm.inicio,MAX($D38,O$3),_xlpm.fin,MIN($E38,O$4),_xlpm.feriados,IF($H38="CO",FER_CO,FER_EC),_xlpm.dias,IF(_xlpm.inicio&gt;_xlpm.fin,0,NETWORKDAYS(_xlpm.inicio,_xlpm.fin,_xlpm.feriados)),_xlpm.factor,IF($G38="Probable",IF(Parametros!$B$6="Sí",1,0),1),IF(OR($A38="",$D38="",$E38=""),0,_xlpm.dias*$I38*_xlpm.factor))</f>
        <v/>
      </c>
      <c r="P38" s="34">
        <f>_xlfn.LET(_xlpm.horas,J38,_xlpm.feriados,IF($H38="CO",FER_CO,FER_EC),_xlpm.capacidad,NETWORKDAYS(J$3,J$4,_xlpm.feriados)*INDEX(Consultores!$C$6:$C$65,MATCH($A38,Consultores!$A$6:$A$65,0)),IF(_xlpm.horas=0,"",IFERROR(_xlpm.horas/_xlpm.capacidad,"")))</f>
        <v/>
      </c>
      <c r="Q38" s="34">
        <f>_xlfn.LET(_xlpm.horas,K38,_xlpm.feriados,IF($H38="CO",FER_CO,FER_EC),_xlpm.capacidad,NETWORKDAYS(K$3,K$4,_xlpm.feriados)*INDEX(Consultores!$C$6:$C$65,MATCH($A38,Consultores!$A$6:$A$65,0)),IF(_xlpm.horas=0,"",IFERROR(_xlpm.horas/_xlpm.capacidad,"")))</f>
        <v/>
      </c>
      <c r="R38" s="34">
        <f>_xlfn.LET(_xlpm.horas,L38,_xlpm.feriados,IF($H38="CO",FER_CO,FER_EC),_xlpm.capacidad,NETWORKDAYS(L$3,L$4,_xlpm.feriados)*INDEX(Consultores!$C$6:$C$65,MATCH($A38,Consultores!$A$6:$A$65,0)),IF(_xlpm.horas=0,"",IFERROR(_xlpm.horas/_xlpm.capacidad,"")))</f>
        <v/>
      </c>
      <c r="S38" s="34">
        <f>_xlfn.LET(_xlpm.horas,M38,_xlpm.feriados,IF($H38="CO",FER_CO,FER_EC),_xlpm.capacidad,NETWORKDAYS(M$3,M$4,_xlpm.feriados)*INDEX(Consultores!$C$6:$C$65,MATCH($A38,Consultores!$A$6:$A$65,0)),IF(_xlpm.horas=0,"",IFERROR(_xlpm.horas/_xlpm.capacidad,"")))</f>
        <v/>
      </c>
      <c r="T38" s="34">
        <f>_xlfn.LET(_xlpm.horas,N38,_xlpm.feriados,IF($H38="CO",FER_CO,FER_EC),_xlpm.capacidad,NETWORKDAYS(N$3,N$4,_xlpm.feriados)*INDEX(Consultores!$C$6:$C$65,MATCH($A38,Consultores!$A$6:$A$65,0)),IF(_xlpm.horas=0,"",IFERROR(_xlpm.horas/_xlpm.capacidad,"")))</f>
        <v/>
      </c>
      <c r="U38" s="34">
        <f>_xlfn.LET(_xlpm.horas,O38,_xlpm.feriados,IF($H38="CO",FER_CO,FER_EC),_xlpm.capacidad,NETWORKDAYS(O$3,O$4,_xlpm.feriados)*INDEX(Consultores!$C$6:$C$65,MATCH($A38,Consultores!$A$6:$A$65,0)),IF(_xlpm.horas=0,"",IFERROR(_xlpm.horas/_xlpm.capacidad,"")))</f>
        <v/>
      </c>
    </row>
    <row r="39">
      <c r="A39" s="25" t="n"/>
      <c r="B39" s="25" t="n"/>
      <c r="C39" s="25" t="n"/>
      <c r="D39" s="30" t="n"/>
      <c r="E39" s="30" t="n"/>
      <c r="F39" s="26" t="n"/>
      <c r="G39" s="25" t="n"/>
      <c r="H39" s="31">
        <f>IF($A39="","",IFERROR(INDEX(Consultores!$B$6:$B$65,MATCH($A39,Consultores!$A$6:$A$65,0)),"No existe"))</f>
        <v/>
      </c>
      <c r="I39" s="32">
        <f>IF($F39="",0,$F39/5)</f>
        <v/>
      </c>
      <c r="J39" s="33">
        <f>_xlfn.LET(_xlpm.inicio,MAX($D39,J$3),_xlpm.fin,MIN($E39,J$4),_xlpm.feriados,IF($H39="CO",FER_CO,FER_EC),_xlpm.dias,IF(_xlpm.inicio&gt;_xlpm.fin,0,NETWORKDAYS(_xlpm.inicio,_xlpm.fin,_xlpm.feriados)),_xlpm.factor,IF($G39="Probable",IF(Parametros!$B$6="Sí",1,0),1),IF(OR($A39="",$D39="",$E39=""),0,_xlpm.dias*$I39*_xlpm.factor))</f>
        <v/>
      </c>
      <c r="K39" s="33">
        <f>_xlfn.LET(_xlpm.inicio,MAX($D39,K$3),_xlpm.fin,MIN($E39,K$4),_xlpm.feriados,IF($H39="CO",FER_CO,FER_EC),_xlpm.dias,IF(_xlpm.inicio&gt;_xlpm.fin,0,NETWORKDAYS(_xlpm.inicio,_xlpm.fin,_xlpm.feriados)),_xlpm.factor,IF($G39="Probable",IF(Parametros!$B$6="Sí",1,0),1),IF(OR($A39="",$D39="",$E39=""),0,_xlpm.dias*$I39*_xlpm.factor))</f>
        <v/>
      </c>
      <c r="L39" s="33">
        <f>_xlfn.LET(_xlpm.inicio,MAX($D39,L$3),_xlpm.fin,MIN($E39,L$4),_xlpm.feriados,IF($H39="CO",FER_CO,FER_EC),_xlpm.dias,IF(_xlpm.inicio&gt;_xlpm.fin,0,NETWORKDAYS(_xlpm.inicio,_xlpm.fin,_xlpm.feriados)),_xlpm.factor,IF($G39="Probable",IF(Parametros!$B$6="Sí",1,0),1),IF(OR($A39="",$D39="",$E39=""),0,_xlpm.dias*$I39*_xlpm.factor))</f>
        <v/>
      </c>
      <c r="M39" s="33">
        <f>_xlfn.LET(_xlpm.inicio,MAX($D39,M$3),_xlpm.fin,MIN($E39,M$4),_xlpm.feriados,IF($H39="CO",FER_CO,FER_EC),_xlpm.dias,IF(_xlpm.inicio&gt;_xlpm.fin,0,NETWORKDAYS(_xlpm.inicio,_xlpm.fin,_xlpm.feriados)),_xlpm.factor,IF($G39="Probable",IF(Parametros!$B$6="Sí",1,0),1),IF(OR($A39="",$D39="",$E39=""),0,_xlpm.dias*$I39*_xlpm.factor))</f>
        <v/>
      </c>
      <c r="N39" s="33">
        <f>_xlfn.LET(_xlpm.inicio,MAX($D39,N$3),_xlpm.fin,MIN($E39,N$4),_xlpm.feriados,IF($H39="CO",FER_CO,FER_EC),_xlpm.dias,IF(_xlpm.inicio&gt;_xlpm.fin,0,NETWORKDAYS(_xlpm.inicio,_xlpm.fin,_xlpm.feriados)),_xlpm.factor,IF($G39="Probable",IF(Parametros!$B$6="Sí",1,0),1),IF(OR($A39="",$D39="",$E39=""),0,_xlpm.dias*$I39*_xlpm.factor))</f>
        <v/>
      </c>
      <c r="O39" s="33">
        <f>_xlfn.LET(_xlpm.inicio,MAX($D39,O$3),_xlpm.fin,MIN($E39,O$4),_xlpm.feriados,IF($H39="CO",FER_CO,FER_EC),_xlpm.dias,IF(_xlpm.inicio&gt;_xlpm.fin,0,NETWORKDAYS(_xlpm.inicio,_xlpm.fin,_xlpm.feriados)),_xlpm.factor,IF($G39="Probable",IF(Parametros!$B$6="Sí",1,0),1),IF(OR($A39="",$D39="",$E39=""),0,_xlpm.dias*$I39*_xlpm.factor))</f>
        <v/>
      </c>
      <c r="P39" s="34">
        <f>_xlfn.LET(_xlpm.horas,J39,_xlpm.feriados,IF($H39="CO",FER_CO,FER_EC),_xlpm.capacidad,NETWORKDAYS(J$3,J$4,_xlpm.feriados)*INDEX(Consultores!$C$6:$C$65,MATCH($A39,Consultores!$A$6:$A$65,0)),IF(_xlpm.horas=0,"",IFERROR(_xlpm.horas/_xlpm.capacidad,"")))</f>
        <v/>
      </c>
      <c r="Q39" s="34">
        <f>_xlfn.LET(_xlpm.horas,K39,_xlpm.feriados,IF($H39="CO",FER_CO,FER_EC),_xlpm.capacidad,NETWORKDAYS(K$3,K$4,_xlpm.feriados)*INDEX(Consultores!$C$6:$C$65,MATCH($A39,Consultores!$A$6:$A$65,0)),IF(_xlpm.horas=0,"",IFERROR(_xlpm.horas/_xlpm.capacidad,"")))</f>
        <v/>
      </c>
      <c r="R39" s="34">
        <f>_xlfn.LET(_xlpm.horas,L39,_xlpm.feriados,IF($H39="CO",FER_CO,FER_EC),_xlpm.capacidad,NETWORKDAYS(L$3,L$4,_xlpm.feriados)*INDEX(Consultores!$C$6:$C$65,MATCH($A39,Consultores!$A$6:$A$65,0)),IF(_xlpm.horas=0,"",IFERROR(_xlpm.horas/_xlpm.capacidad,"")))</f>
        <v/>
      </c>
      <c r="S39" s="34">
        <f>_xlfn.LET(_xlpm.horas,M39,_xlpm.feriados,IF($H39="CO",FER_CO,FER_EC),_xlpm.capacidad,NETWORKDAYS(M$3,M$4,_xlpm.feriados)*INDEX(Consultores!$C$6:$C$65,MATCH($A39,Consultores!$A$6:$A$65,0)),IF(_xlpm.horas=0,"",IFERROR(_xlpm.horas/_xlpm.capacidad,"")))</f>
        <v/>
      </c>
      <c r="T39" s="34">
        <f>_xlfn.LET(_xlpm.horas,N39,_xlpm.feriados,IF($H39="CO",FER_CO,FER_EC),_xlpm.capacidad,NETWORKDAYS(N$3,N$4,_xlpm.feriados)*INDEX(Consultores!$C$6:$C$65,MATCH($A39,Consultores!$A$6:$A$65,0)),IF(_xlpm.horas=0,"",IFERROR(_xlpm.horas/_xlpm.capacidad,"")))</f>
        <v/>
      </c>
      <c r="U39" s="34">
        <f>_xlfn.LET(_xlpm.horas,O39,_xlpm.feriados,IF($H39="CO",FER_CO,FER_EC),_xlpm.capacidad,NETWORKDAYS(O$3,O$4,_xlpm.feriados)*INDEX(Consultores!$C$6:$C$65,MATCH($A39,Consultores!$A$6:$A$65,0)),IF(_xlpm.horas=0,"",IFERROR(_xlpm.horas/_xlpm.capacidad,"")))</f>
        <v/>
      </c>
    </row>
    <row r="40">
      <c r="A40" s="25" t="n"/>
      <c r="B40" s="25" t="n"/>
      <c r="C40" s="25" t="n"/>
      <c r="D40" s="30" t="n"/>
      <c r="E40" s="30" t="n"/>
      <c r="F40" s="26" t="n"/>
      <c r="G40" s="25" t="n"/>
      <c r="H40" s="31">
        <f>IF($A40="","",IFERROR(INDEX(Consultores!$B$6:$B$65,MATCH($A40,Consultores!$A$6:$A$65,0)),"No existe"))</f>
        <v/>
      </c>
      <c r="I40" s="32">
        <f>IF($F40="",0,$F40/5)</f>
        <v/>
      </c>
      <c r="J40" s="33">
        <f>_xlfn.LET(_xlpm.inicio,MAX($D40,J$3),_xlpm.fin,MIN($E40,J$4),_xlpm.feriados,IF($H40="CO",FER_CO,FER_EC),_xlpm.dias,IF(_xlpm.inicio&gt;_xlpm.fin,0,NETWORKDAYS(_xlpm.inicio,_xlpm.fin,_xlpm.feriados)),_xlpm.factor,IF($G40="Probable",IF(Parametros!$B$6="Sí",1,0),1),IF(OR($A40="",$D40="",$E40=""),0,_xlpm.dias*$I40*_xlpm.factor))</f>
        <v/>
      </c>
      <c r="K40" s="33">
        <f>_xlfn.LET(_xlpm.inicio,MAX($D40,K$3),_xlpm.fin,MIN($E40,K$4),_xlpm.feriados,IF($H40="CO",FER_CO,FER_EC),_xlpm.dias,IF(_xlpm.inicio&gt;_xlpm.fin,0,NETWORKDAYS(_xlpm.inicio,_xlpm.fin,_xlpm.feriados)),_xlpm.factor,IF($G40="Probable",IF(Parametros!$B$6="Sí",1,0),1),IF(OR($A40="",$D40="",$E40=""),0,_xlpm.dias*$I40*_xlpm.factor))</f>
        <v/>
      </c>
      <c r="L40" s="33">
        <f>_xlfn.LET(_xlpm.inicio,MAX($D40,L$3),_xlpm.fin,MIN($E40,L$4),_xlpm.feriados,IF($H40="CO",FER_CO,FER_EC),_xlpm.dias,IF(_xlpm.inicio&gt;_xlpm.fin,0,NETWORKDAYS(_xlpm.inicio,_xlpm.fin,_xlpm.feriados)),_xlpm.factor,IF($G40="Probable",IF(Parametros!$B$6="Sí",1,0),1),IF(OR($A40="",$D40="",$E40=""),0,_xlpm.dias*$I40*_xlpm.factor))</f>
        <v/>
      </c>
      <c r="M40" s="33">
        <f>_xlfn.LET(_xlpm.inicio,MAX($D40,M$3),_xlpm.fin,MIN($E40,M$4),_xlpm.feriados,IF($H40="CO",FER_CO,FER_EC),_xlpm.dias,IF(_xlpm.inicio&gt;_xlpm.fin,0,NETWORKDAYS(_xlpm.inicio,_xlpm.fin,_xlpm.feriados)),_xlpm.factor,IF($G40="Probable",IF(Parametros!$B$6="Sí",1,0),1),IF(OR($A40="",$D40="",$E40=""),0,_xlpm.dias*$I40*_xlpm.factor))</f>
        <v/>
      </c>
      <c r="N40" s="33">
        <f>_xlfn.LET(_xlpm.inicio,MAX($D40,N$3),_xlpm.fin,MIN($E40,N$4),_xlpm.feriados,IF($H40="CO",FER_CO,FER_EC),_xlpm.dias,IF(_xlpm.inicio&gt;_xlpm.fin,0,NETWORKDAYS(_xlpm.inicio,_xlpm.fin,_xlpm.feriados)),_xlpm.factor,IF($G40="Probable",IF(Parametros!$B$6="Sí",1,0),1),IF(OR($A40="",$D40="",$E40=""),0,_xlpm.dias*$I40*_xlpm.factor))</f>
        <v/>
      </c>
      <c r="O40" s="33">
        <f>_xlfn.LET(_xlpm.inicio,MAX($D40,O$3),_xlpm.fin,MIN($E40,O$4),_xlpm.feriados,IF($H40="CO",FER_CO,FER_EC),_xlpm.dias,IF(_xlpm.inicio&gt;_xlpm.fin,0,NETWORKDAYS(_xlpm.inicio,_xlpm.fin,_xlpm.feriados)),_xlpm.factor,IF($G40="Probable",IF(Parametros!$B$6="Sí",1,0),1),IF(OR($A40="",$D40="",$E40=""),0,_xlpm.dias*$I40*_xlpm.factor))</f>
        <v/>
      </c>
      <c r="P40" s="34">
        <f>_xlfn.LET(_xlpm.horas,J40,_xlpm.feriados,IF($H40="CO",FER_CO,FER_EC),_xlpm.capacidad,NETWORKDAYS(J$3,J$4,_xlpm.feriados)*INDEX(Consultores!$C$6:$C$65,MATCH($A40,Consultores!$A$6:$A$65,0)),IF(_xlpm.horas=0,"",IFERROR(_xlpm.horas/_xlpm.capacidad,"")))</f>
        <v/>
      </c>
      <c r="Q40" s="34">
        <f>_xlfn.LET(_xlpm.horas,K40,_xlpm.feriados,IF($H40="CO",FER_CO,FER_EC),_xlpm.capacidad,NETWORKDAYS(K$3,K$4,_xlpm.feriados)*INDEX(Consultores!$C$6:$C$65,MATCH($A40,Consultores!$A$6:$A$65,0)),IF(_xlpm.horas=0,"",IFERROR(_xlpm.horas/_xlpm.capacidad,"")))</f>
        <v/>
      </c>
      <c r="R40" s="34">
        <f>_xlfn.LET(_xlpm.horas,L40,_xlpm.feriados,IF($H40="CO",FER_CO,FER_EC),_xlpm.capacidad,NETWORKDAYS(L$3,L$4,_xlpm.feriados)*INDEX(Consultores!$C$6:$C$65,MATCH($A40,Consultores!$A$6:$A$65,0)),IF(_xlpm.horas=0,"",IFERROR(_xlpm.horas/_xlpm.capacidad,"")))</f>
        <v/>
      </c>
      <c r="S40" s="34">
        <f>_xlfn.LET(_xlpm.horas,M40,_xlpm.feriados,IF($H40="CO",FER_CO,FER_EC),_xlpm.capacidad,NETWORKDAYS(M$3,M$4,_xlpm.feriados)*INDEX(Consultores!$C$6:$C$65,MATCH($A40,Consultores!$A$6:$A$65,0)),IF(_xlpm.horas=0,"",IFERROR(_xlpm.horas/_xlpm.capacidad,"")))</f>
        <v/>
      </c>
      <c r="T40" s="34">
        <f>_xlfn.LET(_xlpm.horas,N40,_xlpm.feriados,IF($H40="CO",FER_CO,FER_EC),_xlpm.capacidad,NETWORKDAYS(N$3,N$4,_xlpm.feriados)*INDEX(Consultores!$C$6:$C$65,MATCH($A40,Consultores!$A$6:$A$65,0)),IF(_xlpm.horas=0,"",IFERROR(_xlpm.horas/_xlpm.capacidad,"")))</f>
        <v/>
      </c>
      <c r="U40" s="34">
        <f>_xlfn.LET(_xlpm.horas,O40,_xlpm.feriados,IF($H40="CO",FER_CO,FER_EC),_xlpm.capacidad,NETWORKDAYS(O$3,O$4,_xlpm.feriados)*INDEX(Consultores!$C$6:$C$65,MATCH($A40,Consultores!$A$6:$A$65,0)),IF(_xlpm.horas=0,"",IFERROR(_xlpm.horas/_xlpm.capacidad,"")))</f>
        <v/>
      </c>
    </row>
    <row r="41">
      <c r="A41" s="25" t="n"/>
      <c r="B41" s="25" t="n"/>
      <c r="C41" s="25" t="n"/>
      <c r="D41" s="30" t="n"/>
      <c r="E41" s="30" t="n"/>
      <c r="F41" s="26" t="n"/>
      <c r="G41" s="25" t="n"/>
      <c r="H41" s="31">
        <f>IF($A41="","",IFERROR(INDEX(Consultores!$B$6:$B$65,MATCH($A41,Consultores!$A$6:$A$65,0)),"No existe"))</f>
        <v/>
      </c>
      <c r="I41" s="32">
        <f>IF($F41="",0,$F41/5)</f>
        <v/>
      </c>
      <c r="J41" s="33">
        <f>_xlfn.LET(_xlpm.inicio,MAX($D41,J$3),_xlpm.fin,MIN($E41,J$4),_xlpm.feriados,IF($H41="CO",FER_CO,FER_EC),_xlpm.dias,IF(_xlpm.inicio&gt;_xlpm.fin,0,NETWORKDAYS(_xlpm.inicio,_xlpm.fin,_xlpm.feriados)),_xlpm.factor,IF($G41="Probable",IF(Parametros!$B$6="Sí",1,0),1),IF(OR($A41="",$D41="",$E41=""),0,_xlpm.dias*$I41*_xlpm.factor))</f>
        <v/>
      </c>
      <c r="K41" s="33">
        <f>_xlfn.LET(_xlpm.inicio,MAX($D41,K$3),_xlpm.fin,MIN($E41,K$4),_xlpm.feriados,IF($H41="CO",FER_CO,FER_EC),_xlpm.dias,IF(_xlpm.inicio&gt;_xlpm.fin,0,NETWORKDAYS(_xlpm.inicio,_xlpm.fin,_xlpm.feriados)),_xlpm.factor,IF($G41="Probable",IF(Parametros!$B$6="Sí",1,0),1),IF(OR($A41="",$D41="",$E41=""),0,_xlpm.dias*$I41*_xlpm.factor))</f>
        <v/>
      </c>
      <c r="L41" s="33">
        <f>_xlfn.LET(_xlpm.inicio,MAX($D41,L$3),_xlpm.fin,MIN($E41,L$4),_xlpm.feriados,IF($H41="CO",FER_CO,FER_EC),_xlpm.dias,IF(_xlpm.inicio&gt;_xlpm.fin,0,NETWORKDAYS(_xlpm.inicio,_xlpm.fin,_xlpm.feriados)),_xlpm.factor,IF($G41="Probable",IF(Parametros!$B$6="Sí",1,0),1),IF(OR($A41="",$D41="",$E41=""),0,_xlpm.dias*$I41*_xlpm.factor))</f>
        <v/>
      </c>
      <c r="M41" s="33">
        <f>_xlfn.LET(_xlpm.inicio,MAX($D41,M$3),_xlpm.fin,MIN($E41,M$4),_xlpm.feriados,IF($H41="CO",FER_CO,FER_EC),_xlpm.dias,IF(_xlpm.inicio&gt;_xlpm.fin,0,NETWORKDAYS(_xlpm.inicio,_xlpm.fin,_xlpm.feriados)),_xlpm.factor,IF($G41="Probable",IF(Parametros!$B$6="Sí",1,0),1),IF(OR($A41="",$D41="",$E41=""),0,_xlpm.dias*$I41*_xlpm.factor))</f>
        <v/>
      </c>
      <c r="N41" s="33">
        <f>_xlfn.LET(_xlpm.inicio,MAX($D41,N$3),_xlpm.fin,MIN($E41,N$4),_xlpm.feriados,IF($H41="CO",FER_CO,FER_EC),_xlpm.dias,IF(_xlpm.inicio&gt;_xlpm.fin,0,NETWORKDAYS(_xlpm.inicio,_xlpm.fin,_xlpm.feriados)),_xlpm.factor,IF($G41="Probable",IF(Parametros!$B$6="Sí",1,0),1),IF(OR($A41="",$D41="",$E41=""),0,_xlpm.dias*$I41*_xlpm.factor))</f>
        <v/>
      </c>
      <c r="O41" s="33">
        <f>_xlfn.LET(_xlpm.inicio,MAX($D41,O$3),_xlpm.fin,MIN($E41,O$4),_xlpm.feriados,IF($H41="CO",FER_CO,FER_EC),_xlpm.dias,IF(_xlpm.inicio&gt;_xlpm.fin,0,NETWORKDAYS(_xlpm.inicio,_xlpm.fin,_xlpm.feriados)),_xlpm.factor,IF($G41="Probable",IF(Parametros!$B$6="Sí",1,0),1),IF(OR($A41="",$D41="",$E41=""),0,_xlpm.dias*$I41*_xlpm.factor))</f>
        <v/>
      </c>
      <c r="P41" s="34">
        <f>_xlfn.LET(_xlpm.horas,J41,_xlpm.feriados,IF($H41="CO",FER_CO,FER_EC),_xlpm.capacidad,NETWORKDAYS(J$3,J$4,_xlpm.feriados)*INDEX(Consultores!$C$6:$C$65,MATCH($A41,Consultores!$A$6:$A$65,0)),IF(_xlpm.horas=0,"",IFERROR(_xlpm.horas/_xlpm.capacidad,"")))</f>
        <v/>
      </c>
      <c r="Q41" s="34">
        <f>_xlfn.LET(_xlpm.horas,K41,_xlpm.feriados,IF($H41="CO",FER_CO,FER_EC),_xlpm.capacidad,NETWORKDAYS(K$3,K$4,_xlpm.feriados)*INDEX(Consultores!$C$6:$C$65,MATCH($A41,Consultores!$A$6:$A$65,0)),IF(_xlpm.horas=0,"",IFERROR(_xlpm.horas/_xlpm.capacidad,"")))</f>
        <v/>
      </c>
      <c r="R41" s="34">
        <f>_xlfn.LET(_xlpm.horas,L41,_xlpm.feriados,IF($H41="CO",FER_CO,FER_EC),_xlpm.capacidad,NETWORKDAYS(L$3,L$4,_xlpm.feriados)*INDEX(Consultores!$C$6:$C$65,MATCH($A41,Consultores!$A$6:$A$65,0)),IF(_xlpm.horas=0,"",IFERROR(_xlpm.horas/_xlpm.capacidad,"")))</f>
        <v/>
      </c>
      <c r="S41" s="34">
        <f>_xlfn.LET(_xlpm.horas,M41,_xlpm.feriados,IF($H41="CO",FER_CO,FER_EC),_xlpm.capacidad,NETWORKDAYS(M$3,M$4,_xlpm.feriados)*INDEX(Consultores!$C$6:$C$65,MATCH($A41,Consultores!$A$6:$A$65,0)),IF(_xlpm.horas=0,"",IFERROR(_xlpm.horas/_xlpm.capacidad,"")))</f>
        <v/>
      </c>
      <c r="T41" s="34">
        <f>_xlfn.LET(_xlpm.horas,N41,_xlpm.feriados,IF($H41="CO",FER_CO,FER_EC),_xlpm.capacidad,NETWORKDAYS(N$3,N$4,_xlpm.feriados)*INDEX(Consultores!$C$6:$C$65,MATCH($A41,Consultores!$A$6:$A$65,0)),IF(_xlpm.horas=0,"",IFERROR(_xlpm.horas/_xlpm.capacidad,"")))</f>
        <v/>
      </c>
      <c r="U41" s="34">
        <f>_xlfn.LET(_xlpm.horas,O41,_xlpm.feriados,IF($H41="CO",FER_CO,FER_EC),_xlpm.capacidad,NETWORKDAYS(O$3,O$4,_xlpm.feriados)*INDEX(Consultores!$C$6:$C$65,MATCH($A41,Consultores!$A$6:$A$65,0)),IF(_xlpm.horas=0,"",IFERROR(_xlpm.horas/_xlpm.capacidad,"")))</f>
        <v/>
      </c>
    </row>
    <row r="42">
      <c r="A42" s="25" t="n"/>
      <c r="B42" s="25" t="n"/>
      <c r="C42" s="25" t="n"/>
      <c r="D42" s="30" t="n"/>
      <c r="E42" s="30" t="n"/>
      <c r="F42" s="26" t="n"/>
      <c r="G42" s="25" t="n"/>
      <c r="H42" s="31">
        <f>IF($A42="","",IFERROR(INDEX(Consultores!$B$6:$B$65,MATCH($A42,Consultores!$A$6:$A$65,0)),"No existe"))</f>
        <v/>
      </c>
      <c r="I42" s="32">
        <f>IF($F42="",0,$F42/5)</f>
        <v/>
      </c>
      <c r="J42" s="33">
        <f>_xlfn.LET(_xlpm.inicio,MAX($D42,J$3),_xlpm.fin,MIN($E42,J$4),_xlpm.feriados,IF($H42="CO",FER_CO,FER_EC),_xlpm.dias,IF(_xlpm.inicio&gt;_xlpm.fin,0,NETWORKDAYS(_xlpm.inicio,_xlpm.fin,_xlpm.feriados)),_xlpm.factor,IF($G42="Probable",IF(Parametros!$B$6="Sí",1,0),1),IF(OR($A42="",$D42="",$E42=""),0,_xlpm.dias*$I42*_xlpm.factor))</f>
        <v/>
      </c>
      <c r="K42" s="33">
        <f>_xlfn.LET(_xlpm.inicio,MAX($D42,K$3),_xlpm.fin,MIN($E42,K$4),_xlpm.feriados,IF($H42="CO",FER_CO,FER_EC),_xlpm.dias,IF(_xlpm.inicio&gt;_xlpm.fin,0,NETWORKDAYS(_xlpm.inicio,_xlpm.fin,_xlpm.feriados)),_xlpm.factor,IF($G42="Probable",IF(Parametros!$B$6="Sí",1,0),1),IF(OR($A42="",$D42="",$E42=""),0,_xlpm.dias*$I42*_xlpm.factor))</f>
        <v/>
      </c>
      <c r="L42" s="33">
        <f>_xlfn.LET(_xlpm.inicio,MAX($D42,L$3),_xlpm.fin,MIN($E42,L$4),_xlpm.feriados,IF($H42="CO",FER_CO,FER_EC),_xlpm.dias,IF(_xlpm.inicio&gt;_xlpm.fin,0,NETWORKDAYS(_xlpm.inicio,_xlpm.fin,_xlpm.feriados)),_xlpm.factor,IF($G42="Probable",IF(Parametros!$B$6="Sí",1,0),1),IF(OR($A42="",$D42="",$E42=""),0,_xlpm.dias*$I42*_xlpm.factor))</f>
        <v/>
      </c>
      <c r="M42" s="33">
        <f>_xlfn.LET(_xlpm.inicio,MAX($D42,M$3),_xlpm.fin,MIN($E42,M$4),_xlpm.feriados,IF($H42="CO",FER_CO,FER_EC),_xlpm.dias,IF(_xlpm.inicio&gt;_xlpm.fin,0,NETWORKDAYS(_xlpm.inicio,_xlpm.fin,_xlpm.feriados)),_xlpm.factor,IF($G42="Probable",IF(Parametros!$B$6="Sí",1,0),1),IF(OR($A42="",$D42="",$E42=""),0,_xlpm.dias*$I42*_xlpm.factor))</f>
        <v/>
      </c>
      <c r="N42" s="33">
        <f>_xlfn.LET(_xlpm.inicio,MAX($D42,N$3),_xlpm.fin,MIN($E42,N$4),_xlpm.feriados,IF($H42="CO",FER_CO,FER_EC),_xlpm.dias,IF(_xlpm.inicio&gt;_xlpm.fin,0,NETWORKDAYS(_xlpm.inicio,_xlpm.fin,_xlpm.feriados)),_xlpm.factor,IF($G42="Probable",IF(Parametros!$B$6="Sí",1,0),1),IF(OR($A42="",$D42="",$E42=""),0,_xlpm.dias*$I42*_xlpm.factor))</f>
        <v/>
      </c>
      <c r="O42" s="33">
        <f>_xlfn.LET(_xlpm.inicio,MAX($D42,O$3),_xlpm.fin,MIN($E42,O$4),_xlpm.feriados,IF($H42="CO",FER_CO,FER_EC),_xlpm.dias,IF(_xlpm.inicio&gt;_xlpm.fin,0,NETWORKDAYS(_xlpm.inicio,_xlpm.fin,_xlpm.feriados)),_xlpm.factor,IF($G42="Probable",IF(Parametros!$B$6="Sí",1,0),1),IF(OR($A42="",$D42="",$E42=""),0,_xlpm.dias*$I42*_xlpm.factor))</f>
        <v/>
      </c>
      <c r="P42" s="34">
        <f>_xlfn.LET(_xlpm.horas,J42,_xlpm.feriados,IF($H42="CO",FER_CO,FER_EC),_xlpm.capacidad,NETWORKDAYS(J$3,J$4,_xlpm.feriados)*INDEX(Consultores!$C$6:$C$65,MATCH($A42,Consultores!$A$6:$A$65,0)),IF(_xlpm.horas=0,"",IFERROR(_xlpm.horas/_xlpm.capacidad,"")))</f>
        <v/>
      </c>
      <c r="Q42" s="34">
        <f>_xlfn.LET(_xlpm.horas,K42,_xlpm.feriados,IF($H42="CO",FER_CO,FER_EC),_xlpm.capacidad,NETWORKDAYS(K$3,K$4,_xlpm.feriados)*INDEX(Consultores!$C$6:$C$65,MATCH($A42,Consultores!$A$6:$A$65,0)),IF(_xlpm.horas=0,"",IFERROR(_xlpm.horas/_xlpm.capacidad,"")))</f>
        <v/>
      </c>
      <c r="R42" s="34">
        <f>_xlfn.LET(_xlpm.horas,L42,_xlpm.feriados,IF($H42="CO",FER_CO,FER_EC),_xlpm.capacidad,NETWORKDAYS(L$3,L$4,_xlpm.feriados)*INDEX(Consultores!$C$6:$C$65,MATCH($A42,Consultores!$A$6:$A$65,0)),IF(_xlpm.horas=0,"",IFERROR(_xlpm.horas/_xlpm.capacidad,"")))</f>
        <v/>
      </c>
      <c r="S42" s="34">
        <f>_xlfn.LET(_xlpm.horas,M42,_xlpm.feriados,IF($H42="CO",FER_CO,FER_EC),_xlpm.capacidad,NETWORKDAYS(M$3,M$4,_xlpm.feriados)*INDEX(Consultores!$C$6:$C$65,MATCH($A42,Consultores!$A$6:$A$65,0)),IF(_xlpm.horas=0,"",IFERROR(_xlpm.horas/_xlpm.capacidad,"")))</f>
        <v/>
      </c>
      <c r="T42" s="34">
        <f>_xlfn.LET(_xlpm.horas,N42,_xlpm.feriados,IF($H42="CO",FER_CO,FER_EC),_xlpm.capacidad,NETWORKDAYS(N$3,N$4,_xlpm.feriados)*INDEX(Consultores!$C$6:$C$65,MATCH($A42,Consultores!$A$6:$A$65,0)),IF(_xlpm.horas=0,"",IFERROR(_xlpm.horas/_xlpm.capacidad,"")))</f>
        <v/>
      </c>
      <c r="U42" s="34">
        <f>_xlfn.LET(_xlpm.horas,O42,_xlpm.feriados,IF($H42="CO",FER_CO,FER_EC),_xlpm.capacidad,NETWORKDAYS(O$3,O$4,_xlpm.feriados)*INDEX(Consultores!$C$6:$C$65,MATCH($A42,Consultores!$A$6:$A$65,0)),IF(_xlpm.horas=0,"",IFERROR(_xlpm.horas/_xlpm.capacidad,"")))</f>
        <v/>
      </c>
    </row>
    <row r="43">
      <c r="A43" s="25" t="n"/>
      <c r="B43" s="25" t="n"/>
      <c r="C43" s="25" t="n"/>
      <c r="D43" s="30" t="n"/>
      <c r="E43" s="30" t="n"/>
      <c r="F43" s="26" t="n"/>
      <c r="G43" s="25" t="n"/>
      <c r="H43" s="31">
        <f>IF($A43="","",IFERROR(INDEX(Consultores!$B$6:$B$65,MATCH($A43,Consultores!$A$6:$A$65,0)),"No existe"))</f>
        <v/>
      </c>
      <c r="I43" s="32">
        <f>IF($F43="",0,$F43/5)</f>
        <v/>
      </c>
      <c r="J43" s="33">
        <f>_xlfn.LET(_xlpm.inicio,MAX($D43,J$3),_xlpm.fin,MIN($E43,J$4),_xlpm.feriados,IF($H43="CO",FER_CO,FER_EC),_xlpm.dias,IF(_xlpm.inicio&gt;_xlpm.fin,0,NETWORKDAYS(_xlpm.inicio,_xlpm.fin,_xlpm.feriados)),_xlpm.factor,IF($G43="Probable",IF(Parametros!$B$6="Sí",1,0),1),IF(OR($A43="",$D43="",$E43=""),0,_xlpm.dias*$I43*_xlpm.factor))</f>
        <v/>
      </c>
      <c r="K43" s="33">
        <f>_xlfn.LET(_xlpm.inicio,MAX($D43,K$3),_xlpm.fin,MIN($E43,K$4),_xlpm.feriados,IF($H43="CO",FER_CO,FER_EC),_xlpm.dias,IF(_xlpm.inicio&gt;_xlpm.fin,0,NETWORKDAYS(_xlpm.inicio,_xlpm.fin,_xlpm.feriados)),_xlpm.factor,IF($G43="Probable",IF(Parametros!$B$6="Sí",1,0),1),IF(OR($A43="",$D43="",$E43=""),0,_xlpm.dias*$I43*_xlpm.factor))</f>
        <v/>
      </c>
      <c r="L43" s="33">
        <f>_xlfn.LET(_xlpm.inicio,MAX($D43,L$3),_xlpm.fin,MIN($E43,L$4),_xlpm.feriados,IF($H43="CO",FER_CO,FER_EC),_xlpm.dias,IF(_xlpm.inicio&gt;_xlpm.fin,0,NETWORKDAYS(_xlpm.inicio,_xlpm.fin,_xlpm.feriados)),_xlpm.factor,IF($G43="Probable",IF(Parametros!$B$6="Sí",1,0),1),IF(OR($A43="",$D43="",$E43=""),0,_xlpm.dias*$I43*_xlpm.factor))</f>
        <v/>
      </c>
      <c r="M43" s="33">
        <f>_xlfn.LET(_xlpm.inicio,MAX($D43,M$3),_xlpm.fin,MIN($E43,M$4),_xlpm.feriados,IF($H43="CO",FER_CO,FER_EC),_xlpm.dias,IF(_xlpm.inicio&gt;_xlpm.fin,0,NETWORKDAYS(_xlpm.inicio,_xlpm.fin,_xlpm.feriados)),_xlpm.factor,IF($G43="Probable",IF(Parametros!$B$6="Sí",1,0),1),IF(OR($A43="",$D43="",$E43=""),0,_xlpm.dias*$I43*_xlpm.factor))</f>
        <v/>
      </c>
      <c r="N43" s="33">
        <f>_xlfn.LET(_xlpm.inicio,MAX($D43,N$3),_xlpm.fin,MIN($E43,N$4),_xlpm.feriados,IF($H43="CO",FER_CO,FER_EC),_xlpm.dias,IF(_xlpm.inicio&gt;_xlpm.fin,0,NETWORKDAYS(_xlpm.inicio,_xlpm.fin,_xlpm.feriados)),_xlpm.factor,IF($G43="Probable",IF(Parametros!$B$6="Sí",1,0),1),IF(OR($A43="",$D43="",$E43=""),0,_xlpm.dias*$I43*_xlpm.factor))</f>
        <v/>
      </c>
      <c r="O43" s="33">
        <f>_xlfn.LET(_xlpm.inicio,MAX($D43,O$3),_xlpm.fin,MIN($E43,O$4),_xlpm.feriados,IF($H43="CO",FER_CO,FER_EC),_xlpm.dias,IF(_xlpm.inicio&gt;_xlpm.fin,0,NETWORKDAYS(_xlpm.inicio,_xlpm.fin,_xlpm.feriados)),_xlpm.factor,IF($G43="Probable",IF(Parametros!$B$6="Sí",1,0),1),IF(OR($A43="",$D43="",$E43=""),0,_xlpm.dias*$I43*_xlpm.factor))</f>
        <v/>
      </c>
      <c r="P43" s="34">
        <f>_xlfn.LET(_xlpm.horas,J43,_xlpm.feriados,IF($H43="CO",FER_CO,FER_EC),_xlpm.capacidad,NETWORKDAYS(J$3,J$4,_xlpm.feriados)*INDEX(Consultores!$C$6:$C$65,MATCH($A43,Consultores!$A$6:$A$65,0)),IF(_xlpm.horas=0,"",IFERROR(_xlpm.horas/_xlpm.capacidad,"")))</f>
        <v/>
      </c>
      <c r="Q43" s="34">
        <f>_xlfn.LET(_xlpm.horas,K43,_xlpm.feriados,IF($H43="CO",FER_CO,FER_EC),_xlpm.capacidad,NETWORKDAYS(K$3,K$4,_xlpm.feriados)*INDEX(Consultores!$C$6:$C$65,MATCH($A43,Consultores!$A$6:$A$65,0)),IF(_xlpm.horas=0,"",IFERROR(_xlpm.horas/_xlpm.capacidad,"")))</f>
        <v/>
      </c>
      <c r="R43" s="34">
        <f>_xlfn.LET(_xlpm.horas,L43,_xlpm.feriados,IF($H43="CO",FER_CO,FER_EC),_xlpm.capacidad,NETWORKDAYS(L$3,L$4,_xlpm.feriados)*INDEX(Consultores!$C$6:$C$65,MATCH($A43,Consultores!$A$6:$A$65,0)),IF(_xlpm.horas=0,"",IFERROR(_xlpm.horas/_xlpm.capacidad,"")))</f>
        <v/>
      </c>
      <c r="S43" s="34">
        <f>_xlfn.LET(_xlpm.horas,M43,_xlpm.feriados,IF($H43="CO",FER_CO,FER_EC),_xlpm.capacidad,NETWORKDAYS(M$3,M$4,_xlpm.feriados)*INDEX(Consultores!$C$6:$C$65,MATCH($A43,Consultores!$A$6:$A$65,0)),IF(_xlpm.horas=0,"",IFERROR(_xlpm.horas/_xlpm.capacidad,"")))</f>
        <v/>
      </c>
      <c r="T43" s="34">
        <f>_xlfn.LET(_xlpm.horas,N43,_xlpm.feriados,IF($H43="CO",FER_CO,FER_EC),_xlpm.capacidad,NETWORKDAYS(N$3,N$4,_xlpm.feriados)*INDEX(Consultores!$C$6:$C$65,MATCH($A43,Consultores!$A$6:$A$65,0)),IF(_xlpm.horas=0,"",IFERROR(_xlpm.horas/_xlpm.capacidad,"")))</f>
        <v/>
      </c>
      <c r="U43" s="34">
        <f>_xlfn.LET(_xlpm.horas,O43,_xlpm.feriados,IF($H43="CO",FER_CO,FER_EC),_xlpm.capacidad,NETWORKDAYS(O$3,O$4,_xlpm.feriados)*INDEX(Consultores!$C$6:$C$65,MATCH($A43,Consultores!$A$6:$A$65,0)),IF(_xlpm.horas=0,"",IFERROR(_xlpm.horas/_xlpm.capacidad,"")))</f>
        <v/>
      </c>
    </row>
    <row r="44">
      <c r="A44" s="25" t="n"/>
      <c r="B44" s="25" t="n"/>
      <c r="C44" s="25" t="n"/>
      <c r="D44" s="30" t="n"/>
      <c r="E44" s="30" t="n"/>
      <c r="F44" s="26" t="n"/>
      <c r="G44" s="25" t="n"/>
      <c r="H44" s="31">
        <f>IF($A44="","",IFERROR(INDEX(Consultores!$B$6:$B$65,MATCH($A44,Consultores!$A$6:$A$65,0)),"No existe"))</f>
        <v/>
      </c>
      <c r="I44" s="32">
        <f>IF($F44="",0,$F44/5)</f>
        <v/>
      </c>
      <c r="J44" s="33">
        <f>_xlfn.LET(_xlpm.inicio,MAX($D44,J$3),_xlpm.fin,MIN($E44,J$4),_xlpm.feriados,IF($H44="CO",FER_CO,FER_EC),_xlpm.dias,IF(_xlpm.inicio&gt;_xlpm.fin,0,NETWORKDAYS(_xlpm.inicio,_xlpm.fin,_xlpm.feriados)),_xlpm.factor,IF($G44="Probable",IF(Parametros!$B$6="Sí",1,0),1),IF(OR($A44="",$D44="",$E44=""),0,_xlpm.dias*$I44*_xlpm.factor))</f>
        <v/>
      </c>
      <c r="K44" s="33">
        <f>_xlfn.LET(_xlpm.inicio,MAX($D44,K$3),_xlpm.fin,MIN($E44,K$4),_xlpm.feriados,IF($H44="CO",FER_CO,FER_EC),_xlpm.dias,IF(_xlpm.inicio&gt;_xlpm.fin,0,NETWORKDAYS(_xlpm.inicio,_xlpm.fin,_xlpm.feriados)),_xlpm.factor,IF($G44="Probable",IF(Parametros!$B$6="Sí",1,0),1),IF(OR($A44="",$D44="",$E44=""),0,_xlpm.dias*$I44*_xlpm.factor))</f>
        <v/>
      </c>
      <c r="L44" s="33">
        <f>_xlfn.LET(_xlpm.inicio,MAX($D44,L$3),_xlpm.fin,MIN($E44,L$4),_xlpm.feriados,IF($H44="CO",FER_CO,FER_EC),_xlpm.dias,IF(_xlpm.inicio&gt;_xlpm.fin,0,NETWORKDAYS(_xlpm.inicio,_xlpm.fin,_xlpm.feriados)),_xlpm.factor,IF($G44="Probable",IF(Parametros!$B$6="Sí",1,0),1),IF(OR($A44="",$D44="",$E44=""),0,_xlpm.dias*$I44*_xlpm.factor))</f>
        <v/>
      </c>
      <c r="M44" s="33">
        <f>_xlfn.LET(_xlpm.inicio,MAX($D44,M$3),_xlpm.fin,MIN($E44,M$4),_xlpm.feriados,IF($H44="CO",FER_CO,FER_EC),_xlpm.dias,IF(_xlpm.inicio&gt;_xlpm.fin,0,NETWORKDAYS(_xlpm.inicio,_xlpm.fin,_xlpm.feriados)),_xlpm.factor,IF($G44="Probable",IF(Parametros!$B$6="Sí",1,0),1),IF(OR($A44="",$D44="",$E44=""),0,_xlpm.dias*$I44*_xlpm.factor))</f>
        <v/>
      </c>
      <c r="N44" s="33">
        <f>_xlfn.LET(_xlpm.inicio,MAX($D44,N$3),_xlpm.fin,MIN($E44,N$4),_xlpm.feriados,IF($H44="CO",FER_CO,FER_EC),_xlpm.dias,IF(_xlpm.inicio&gt;_xlpm.fin,0,NETWORKDAYS(_xlpm.inicio,_xlpm.fin,_xlpm.feriados)),_xlpm.factor,IF($G44="Probable",IF(Parametros!$B$6="Sí",1,0),1),IF(OR($A44="",$D44="",$E44=""),0,_xlpm.dias*$I44*_xlpm.factor))</f>
        <v/>
      </c>
      <c r="O44" s="33">
        <f>_xlfn.LET(_xlpm.inicio,MAX($D44,O$3),_xlpm.fin,MIN($E44,O$4),_xlpm.feriados,IF($H44="CO",FER_CO,FER_EC),_xlpm.dias,IF(_xlpm.inicio&gt;_xlpm.fin,0,NETWORKDAYS(_xlpm.inicio,_xlpm.fin,_xlpm.feriados)),_xlpm.factor,IF($G44="Probable",IF(Parametros!$B$6="Sí",1,0),1),IF(OR($A44="",$D44="",$E44=""),0,_xlpm.dias*$I44*_xlpm.factor))</f>
        <v/>
      </c>
      <c r="P44" s="34">
        <f>_xlfn.LET(_xlpm.horas,J44,_xlpm.feriados,IF($H44="CO",FER_CO,FER_EC),_xlpm.capacidad,NETWORKDAYS(J$3,J$4,_xlpm.feriados)*INDEX(Consultores!$C$6:$C$65,MATCH($A44,Consultores!$A$6:$A$65,0)),IF(_xlpm.horas=0,"",IFERROR(_xlpm.horas/_xlpm.capacidad,"")))</f>
        <v/>
      </c>
      <c r="Q44" s="34">
        <f>_xlfn.LET(_xlpm.horas,K44,_xlpm.feriados,IF($H44="CO",FER_CO,FER_EC),_xlpm.capacidad,NETWORKDAYS(K$3,K$4,_xlpm.feriados)*INDEX(Consultores!$C$6:$C$65,MATCH($A44,Consultores!$A$6:$A$65,0)),IF(_xlpm.horas=0,"",IFERROR(_xlpm.horas/_xlpm.capacidad,"")))</f>
        <v/>
      </c>
      <c r="R44" s="34">
        <f>_xlfn.LET(_xlpm.horas,L44,_xlpm.feriados,IF($H44="CO",FER_CO,FER_EC),_xlpm.capacidad,NETWORKDAYS(L$3,L$4,_xlpm.feriados)*INDEX(Consultores!$C$6:$C$65,MATCH($A44,Consultores!$A$6:$A$65,0)),IF(_xlpm.horas=0,"",IFERROR(_xlpm.horas/_xlpm.capacidad,"")))</f>
        <v/>
      </c>
      <c r="S44" s="34">
        <f>_xlfn.LET(_xlpm.horas,M44,_xlpm.feriados,IF($H44="CO",FER_CO,FER_EC),_xlpm.capacidad,NETWORKDAYS(M$3,M$4,_xlpm.feriados)*INDEX(Consultores!$C$6:$C$65,MATCH($A44,Consultores!$A$6:$A$65,0)),IF(_xlpm.horas=0,"",IFERROR(_xlpm.horas/_xlpm.capacidad,"")))</f>
        <v/>
      </c>
      <c r="T44" s="34">
        <f>_xlfn.LET(_xlpm.horas,N44,_xlpm.feriados,IF($H44="CO",FER_CO,FER_EC),_xlpm.capacidad,NETWORKDAYS(N$3,N$4,_xlpm.feriados)*INDEX(Consultores!$C$6:$C$65,MATCH($A44,Consultores!$A$6:$A$65,0)),IF(_xlpm.horas=0,"",IFERROR(_xlpm.horas/_xlpm.capacidad,"")))</f>
        <v/>
      </c>
      <c r="U44" s="34">
        <f>_xlfn.LET(_xlpm.horas,O44,_xlpm.feriados,IF($H44="CO",FER_CO,FER_EC),_xlpm.capacidad,NETWORKDAYS(O$3,O$4,_xlpm.feriados)*INDEX(Consultores!$C$6:$C$65,MATCH($A44,Consultores!$A$6:$A$65,0)),IF(_xlpm.horas=0,"",IFERROR(_xlpm.horas/_xlpm.capacidad,"")))</f>
        <v/>
      </c>
    </row>
    <row r="45">
      <c r="A45" s="25" t="n"/>
      <c r="B45" s="25" t="n"/>
      <c r="C45" s="25" t="n"/>
      <c r="D45" s="30" t="n"/>
      <c r="E45" s="30" t="n"/>
      <c r="F45" s="26" t="n"/>
      <c r="G45" s="25" t="n"/>
      <c r="H45" s="31">
        <f>IF($A45="","",IFERROR(INDEX(Consultores!$B$6:$B$65,MATCH($A45,Consultores!$A$6:$A$65,0)),"No existe"))</f>
        <v/>
      </c>
      <c r="I45" s="32">
        <f>IF($F45="",0,$F45/5)</f>
        <v/>
      </c>
      <c r="J45" s="33">
        <f>_xlfn.LET(_xlpm.inicio,MAX($D45,J$3),_xlpm.fin,MIN($E45,J$4),_xlpm.feriados,IF($H45="CO",FER_CO,FER_EC),_xlpm.dias,IF(_xlpm.inicio&gt;_xlpm.fin,0,NETWORKDAYS(_xlpm.inicio,_xlpm.fin,_xlpm.feriados)),_xlpm.factor,IF($G45="Probable",IF(Parametros!$B$6="Sí",1,0),1),IF(OR($A45="",$D45="",$E45=""),0,_xlpm.dias*$I45*_xlpm.factor))</f>
        <v/>
      </c>
      <c r="K45" s="33">
        <f>_xlfn.LET(_xlpm.inicio,MAX($D45,K$3),_xlpm.fin,MIN($E45,K$4),_xlpm.feriados,IF($H45="CO",FER_CO,FER_EC),_xlpm.dias,IF(_xlpm.inicio&gt;_xlpm.fin,0,NETWORKDAYS(_xlpm.inicio,_xlpm.fin,_xlpm.feriados)),_xlpm.factor,IF($G45="Probable",IF(Parametros!$B$6="Sí",1,0),1),IF(OR($A45="",$D45="",$E45=""),0,_xlpm.dias*$I45*_xlpm.factor))</f>
        <v/>
      </c>
      <c r="L45" s="33">
        <f>_xlfn.LET(_xlpm.inicio,MAX($D45,L$3),_xlpm.fin,MIN($E45,L$4),_xlpm.feriados,IF($H45="CO",FER_CO,FER_EC),_xlpm.dias,IF(_xlpm.inicio&gt;_xlpm.fin,0,NETWORKDAYS(_xlpm.inicio,_xlpm.fin,_xlpm.feriados)),_xlpm.factor,IF($G45="Probable",IF(Parametros!$B$6="Sí",1,0),1),IF(OR($A45="",$D45="",$E45=""),0,_xlpm.dias*$I45*_xlpm.factor))</f>
        <v/>
      </c>
      <c r="M45" s="33">
        <f>_xlfn.LET(_xlpm.inicio,MAX($D45,M$3),_xlpm.fin,MIN($E45,M$4),_xlpm.feriados,IF($H45="CO",FER_CO,FER_EC),_xlpm.dias,IF(_xlpm.inicio&gt;_xlpm.fin,0,NETWORKDAYS(_xlpm.inicio,_xlpm.fin,_xlpm.feriados)),_xlpm.factor,IF($G45="Probable",IF(Parametros!$B$6="Sí",1,0),1),IF(OR($A45="",$D45="",$E45=""),0,_xlpm.dias*$I45*_xlpm.factor))</f>
        <v/>
      </c>
      <c r="N45" s="33">
        <f>_xlfn.LET(_xlpm.inicio,MAX($D45,N$3),_xlpm.fin,MIN($E45,N$4),_xlpm.feriados,IF($H45="CO",FER_CO,FER_EC),_xlpm.dias,IF(_xlpm.inicio&gt;_xlpm.fin,0,NETWORKDAYS(_xlpm.inicio,_xlpm.fin,_xlpm.feriados)),_xlpm.factor,IF($G45="Probable",IF(Parametros!$B$6="Sí",1,0),1),IF(OR($A45="",$D45="",$E45=""),0,_xlpm.dias*$I45*_xlpm.factor))</f>
        <v/>
      </c>
      <c r="O45" s="33">
        <f>_xlfn.LET(_xlpm.inicio,MAX($D45,O$3),_xlpm.fin,MIN($E45,O$4),_xlpm.feriados,IF($H45="CO",FER_CO,FER_EC),_xlpm.dias,IF(_xlpm.inicio&gt;_xlpm.fin,0,NETWORKDAYS(_xlpm.inicio,_xlpm.fin,_xlpm.feriados)),_xlpm.factor,IF($G45="Probable",IF(Parametros!$B$6="Sí",1,0),1),IF(OR($A45="",$D45="",$E45=""),0,_xlpm.dias*$I45*_xlpm.factor))</f>
        <v/>
      </c>
      <c r="P45" s="34">
        <f>_xlfn.LET(_xlpm.horas,J45,_xlpm.feriados,IF($H45="CO",FER_CO,FER_EC),_xlpm.capacidad,NETWORKDAYS(J$3,J$4,_xlpm.feriados)*INDEX(Consultores!$C$6:$C$65,MATCH($A45,Consultores!$A$6:$A$65,0)),IF(_xlpm.horas=0,"",IFERROR(_xlpm.horas/_xlpm.capacidad,"")))</f>
        <v/>
      </c>
      <c r="Q45" s="34">
        <f>_xlfn.LET(_xlpm.horas,K45,_xlpm.feriados,IF($H45="CO",FER_CO,FER_EC),_xlpm.capacidad,NETWORKDAYS(K$3,K$4,_xlpm.feriados)*INDEX(Consultores!$C$6:$C$65,MATCH($A45,Consultores!$A$6:$A$65,0)),IF(_xlpm.horas=0,"",IFERROR(_xlpm.horas/_xlpm.capacidad,"")))</f>
        <v/>
      </c>
      <c r="R45" s="34">
        <f>_xlfn.LET(_xlpm.horas,L45,_xlpm.feriados,IF($H45="CO",FER_CO,FER_EC),_xlpm.capacidad,NETWORKDAYS(L$3,L$4,_xlpm.feriados)*INDEX(Consultores!$C$6:$C$65,MATCH($A45,Consultores!$A$6:$A$65,0)),IF(_xlpm.horas=0,"",IFERROR(_xlpm.horas/_xlpm.capacidad,"")))</f>
        <v/>
      </c>
      <c r="S45" s="34">
        <f>_xlfn.LET(_xlpm.horas,M45,_xlpm.feriados,IF($H45="CO",FER_CO,FER_EC),_xlpm.capacidad,NETWORKDAYS(M$3,M$4,_xlpm.feriados)*INDEX(Consultores!$C$6:$C$65,MATCH($A45,Consultores!$A$6:$A$65,0)),IF(_xlpm.horas=0,"",IFERROR(_xlpm.horas/_xlpm.capacidad,"")))</f>
        <v/>
      </c>
      <c r="T45" s="34">
        <f>_xlfn.LET(_xlpm.horas,N45,_xlpm.feriados,IF($H45="CO",FER_CO,FER_EC),_xlpm.capacidad,NETWORKDAYS(N$3,N$4,_xlpm.feriados)*INDEX(Consultores!$C$6:$C$65,MATCH($A45,Consultores!$A$6:$A$65,0)),IF(_xlpm.horas=0,"",IFERROR(_xlpm.horas/_xlpm.capacidad,"")))</f>
        <v/>
      </c>
      <c r="U45" s="34">
        <f>_xlfn.LET(_xlpm.horas,O45,_xlpm.feriados,IF($H45="CO",FER_CO,FER_EC),_xlpm.capacidad,NETWORKDAYS(O$3,O$4,_xlpm.feriados)*INDEX(Consultores!$C$6:$C$65,MATCH($A45,Consultores!$A$6:$A$65,0)),IF(_xlpm.horas=0,"",IFERROR(_xlpm.horas/_xlpm.capacidad,"")))</f>
        <v/>
      </c>
    </row>
    <row r="46">
      <c r="A46" s="25" t="n"/>
      <c r="B46" s="25" t="n"/>
      <c r="C46" s="25" t="n"/>
      <c r="D46" s="30" t="n"/>
      <c r="E46" s="30" t="n"/>
      <c r="F46" s="26" t="n"/>
      <c r="G46" s="25" t="n"/>
      <c r="H46" s="31">
        <f>IF($A46="","",IFERROR(INDEX(Consultores!$B$6:$B$65,MATCH($A46,Consultores!$A$6:$A$65,0)),"No existe"))</f>
        <v/>
      </c>
      <c r="I46" s="32">
        <f>IF($F46="",0,$F46/5)</f>
        <v/>
      </c>
      <c r="J46" s="33">
        <f>_xlfn.LET(_xlpm.inicio,MAX($D46,J$3),_xlpm.fin,MIN($E46,J$4),_xlpm.feriados,IF($H46="CO",FER_CO,FER_EC),_xlpm.dias,IF(_xlpm.inicio&gt;_xlpm.fin,0,NETWORKDAYS(_xlpm.inicio,_xlpm.fin,_xlpm.feriados)),_xlpm.factor,IF($G46="Probable",IF(Parametros!$B$6="Sí",1,0),1),IF(OR($A46="",$D46="",$E46=""),0,_xlpm.dias*$I46*_xlpm.factor))</f>
        <v/>
      </c>
      <c r="K46" s="33">
        <f>_xlfn.LET(_xlpm.inicio,MAX($D46,K$3),_xlpm.fin,MIN($E46,K$4),_xlpm.feriados,IF($H46="CO",FER_CO,FER_EC),_xlpm.dias,IF(_xlpm.inicio&gt;_xlpm.fin,0,NETWORKDAYS(_xlpm.inicio,_xlpm.fin,_xlpm.feriados)),_xlpm.factor,IF($G46="Probable",IF(Parametros!$B$6="Sí",1,0),1),IF(OR($A46="",$D46="",$E46=""),0,_xlpm.dias*$I46*_xlpm.factor))</f>
        <v/>
      </c>
      <c r="L46" s="33">
        <f>_xlfn.LET(_xlpm.inicio,MAX($D46,L$3),_xlpm.fin,MIN($E46,L$4),_xlpm.feriados,IF($H46="CO",FER_CO,FER_EC),_xlpm.dias,IF(_xlpm.inicio&gt;_xlpm.fin,0,NETWORKDAYS(_xlpm.inicio,_xlpm.fin,_xlpm.feriados)),_xlpm.factor,IF($G46="Probable",IF(Parametros!$B$6="Sí",1,0),1),IF(OR($A46="",$D46="",$E46=""),0,_xlpm.dias*$I46*_xlpm.factor))</f>
        <v/>
      </c>
      <c r="M46" s="33">
        <f>_xlfn.LET(_xlpm.inicio,MAX($D46,M$3),_xlpm.fin,MIN($E46,M$4),_xlpm.feriados,IF($H46="CO",FER_CO,FER_EC),_xlpm.dias,IF(_xlpm.inicio&gt;_xlpm.fin,0,NETWORKDAYS(_xlpm.inicio,_xlpm.fin,_xlpm.feriados)),_xlpm.factor,IF($G46="Probable",IF(Parametros!$B$6="Sí",1,0),1),IF(OR($A46="",$D46="",$E46=""),0,_xlpm.dias*$I46*_xlpm.factor))</f>
        <v/>
      </c>
      <c r="N46" s="33">
        <f>_xlfn.LET(_xlpm.inicio,MAX($D46,N$3),_xlpm.fin,MIN($E46,N$4),_xlpm.feriados,IF($H46="CO",FER_CO,FER_EC),_xlpm.dias,IF(_xlpm.inicio&gt;_xlpm.fin,0,NETWORKDAYS(_xlpm.inicio,_xlpm.fin,_xlpm.feriados)),_xlpm.factor,IF($G46="Probable",IF(Parametros!$B$6="Sí",1,0),1),IF(OR($A46="",$D46="",$E46=""),0,_xlpm.dias*$I46*_xlpm.factor))</f>
        <v/>
      </c>
      <c r="O46" s="33">
        <f>_xlfn.LET(_xlpm.inicio,MAX($D46,O$3),_xlpm.fin,MIN($E46,O$4),_xlpm.feriados,IF($H46="CO",FER_CO,FER_EC),_xlpm.dias,IF(_xlpm.inicio&gt;_xlpm.fin,0,NETWORKDAYS(_xlpm.inicio,_xlpm.fin,_xlpm.feriados)),_xlpm.factor,IF($G46="Probable",IF(Parametros!$B$6="Sí",1,0),1),IF(OR($A46="",$D46="",$E46=""),0,_xlpm.dias*$I46*_xlpm.factor))</f>
        <v/>
      </c>
      <c r="P46" s="34">
        <f>_xlfn.LET(_xlpm.horas,J46,_xlpm.feriados,IF($H46="CO",FER_CO,FER_EC),_xlpm.capacidad,NETWORKDAYS(J$3,J$4,_xlpm.feriados)*INDEX(Consultores!$C$6:$C$65,MATCH($A46,Consultores!$A$6:$A$65,0)),IF(_xlpm.horas=0,"",IFERROR(_xlpm.horas/_xlpm.capacidad,"")))</f>
        <v/>
      </c>
      <c r="Q46" s="34">
        <f>_xlfn.LET(_xlpm.horas,K46,_xlpm.feriados,IF($H46="CO",FER_CO,FER_EC),_xlpm.capacidad,NETWORKDAYS(K$3,K$4,_xlpm.feriados)*INDEX(Consultores!$C$6:$C$65,MATCH($A46,Consultores!$A$6:$A$65,0)),IF(_xlpm.horas=0,"",IFERROR(_xlpm.horas/_xlpm.capacidad,"")))</f>
        <v/>
      </c>
      <c r="R46" s="34">
        <f>_xlfn.LET(_xlpm.horas,L46,_xlpm.feriados,IF($H46="CO",FER_CO,FER_EC),_xlpm.capacidad,NETWORKDAYS(L$3,L$4,_xlpm.feriados)*INDEX(Consultores!$C$6:$C$65,MATCH($A46,Consultores!$A$6:$A$65,0)),IF(_xlpm.horas=0,"",IFERROR(_xlpm.horas/_xlpm.capacidad,"")))</f>
        <v/>
      </c>
      <c r="S46" s="34">
        <f>_xlfn.LET(_xlpm.horas,M46,_xlpm.feriados,IF($H46="CO",FER_CO,FER_EC),_xlpm.capacidad,NETWORKDAYS(M$3,M$4,_xlpm.feriados)*INDEX(Consultores!$C$6:$C$65,MATCH($A46,Consultores!$A$6:$A$65,0)),IF(_xlpm.horas=0,"",IFERROR(_xlpm.horas/_xlpm.capacidad,"")))</f>
        <v/>
      </c>
      <c r="T46" s="34">
        <f>_xlfn.LET(_xlpm.horas,N46,_xlpm.feriados,IF($H46="CO",FER_CO,FER_EC),_xlpm.capacidad,NETWORKDAYS(N$3,N$4,_xlpm.feriados)*INDEX(Consultores!$C$6:$C$65,MATCH($A46,Consultores!$A$6:$A$65,0)),IF(_xlpm.horas=0,"",IFERROR(_xlpm.horas/_xlpm.capacidad,"")))</f>
        <v/>
      </c>
      <c r="U46" s="34">
        <f>_xlfn.LET(_xlpm.horas,O46,_xlpm.feriados,IF($H46="CO",FER_CO,FER_EC),_xlpm.capacidad,NETWORKDAYS(O$3,O$4,_xlpm.feriados)*INDEX(Consultores!$C$6:$C$65,MATCH($A46,Consultores!$A$6:$A$65,0)),IF(_xlpm.horas=0,"",IFERROR(_xlpm.horas/_xlpm.capacidad,"")))</f>
        <v/>
      </c>
    </row>
    <row r="47">
      <c r="A47" s="25" t="n"/>
      <c r="B47" s="25" t="n"/>
      <c r="C47" s="25" t="n"/>
      <c r="D47" s="30" t="n"/>
      <c r="E47" s="30" t="n"/>
      <c r="F47" s="26" t="n"/>
      <c r="G47" s="25" t="n"/>
      <c r="H47" s="31">
        <f>IF($A47="","",IFERROR(INDEX(Consultores!$B$6:$B$65,MATCH($A47,Consultores!$A$6:$A$65,0)),"No existe"))</f>
        <v/>
      </c>
      <c r="I47" s="32">
        <f>IF($F47="",0,$F47/5)</f>
        <v/>
      </c>
      <c r="J47" s="33">
        <f>_xlfn.LET(_xlpm.inicio,MAX($D47,J$3),_xlpm.fin,MIN($E47,J$4),_xlpm.feriados,IF($H47="CO",FER_CO,FER_EC),_xlpm.dias,IF(_xlpm.inicio&gt;_xlpm.fin,0,NETWORKDAYS(_xlpm.inicio,_xlpm.fin,_xlpm.feriados)),_xlpm.factor,IF($G47="Probable",IF(Parametros!$B$6="Sí",1,0),1),IF(OR($A47="",$D47="",$E47=""),0,_xlpm.dias*$I47*_xlpm.factor))</f>
        <v/>
      </c>
      <c r="K47" s="33">
        <f>_xlfn.LET(_xlpm.inicio,MAX($D47,K$3),_xlpm.fin,MIN($E47,K$4),_xlpm.feriados,IF($H47="CO",FER_CO,FER_EC),_xlpm.dias,IF(_xlpm.inicio&gt;_xlpm.fin,0,NETWORKDAYS(_xlpm.inicio,_xlpm.fin,_xlpm.feriados)),_xlpm.factor,IF($G47="Probable",IF(Parametros!$B$6="Sí",1,0),1),IF(OR($A47="",$D47="",$E47=""),0,_xlpm.dias*$I47*_xlpm.factor))</f>
        <v/>
      </c>
      <c r="L47" s="33">
        <f>_xlfn.LET(_xlpm.inicio,MAX($D47,L$3),_xlpm.fin,MIN($E47,L$4),_xlpm.feriados,IF($H47="CO",FER_CO,FER_EC),_xlpm.dias,IF(_xlpm.inicio&gt;_xlpm.fin,0,NETWORKDAYS(_xlpm.inicio,_xlpm.fin,_xlpm.feriados)),_xlpm.factor,IF($G47="Probable",IF(Parametros!$B$6="Sí",1,0),1),IF(OR($A47="",$D47="",$E47=""),0,_xlpm.dias*$I47*_xlpm.factor))</f>
        <v/>
      </c>
      <c r="M47" s="33">
        <f>_xlfn.LET(_xlpm.inicio,MAX($D47,M$3),_xlpm.fin,MIN($E47,M$4),_xlpm.feriados,IF($H47="CO",FER_CO,FER_EC),_xlpm.dias,IF(_xlpm.inicio&gt;_xlpm.fin,0,NETWORKDAYS(_xlpm.inicio,_xlpm.fin,_xlpm.feriados)),_xlpm.factor,IF($G47="Probable",IF(Parametros!$B$6="Sí",1,0),1),IF(OR($A47="",$D47="",$E47=""),0,_xlpm.dias*$I47*_xlpm.factor))</f>
        <v/>
      </c>
      <c r="N47" s="33">
        <f>_xlfn.LET(_xlpm.inicio,MAX($D47,N$3),_xlpm.fin,MIN($E47,N$4),_xlpm.feriados,IF($H47="CO",FER_CO,FER_EC),_xlpm.dias,IF(_xlpm.inicio&gt;_xlpm.fin,0,NETWORKDAYS(_xlpm.inicio,_xlpm.fin,_xlpm.feriados)),_xlpm.factor,IF($G47="Probable",IF(Parametros!$B$6="Sí",1,0),1),IF(OR($A47="",$D47="",$E47=""),0,_xlpm.dias*$I47*_xlpm.factor))</f>
        <v/>
      </c>
      <c r="O47" s="33">
        <f>_xlfn.LET(_xlpm.inicio,MAX($D47,O$3),_xlpm.fin,MIN($E47,O$4),_xlpm.feriados,IF($H47="CO",FER_CO,FER_EC),_xlpm.dias,IF(_xlpm.inicio&gt;_xlpm.fin,0,NETWORKDAYS(_xlpm.inicio,_xlpm.fin,_xlpm.feriados)),_xlpm.factor,IF($G47="Probable",IF(Parametros!$B$6="Sí",1,0),1),IF(OR($A47="",$D47="",$E47=""),0,_xlpm.dias*$I47*_xlpm.factor))</f>
        <v/>
      </c>
      <c r="P47" s="34">
        <f>_xlfn.LET(_xlpm.horas,J47,_xlpm.feriados,IF($H47="CO",FER_CO,FER_EC),_xlpm.capacidad,NETWORKDAYS(J$3,J$4,_xlpm.feriados)*INDEX(Consultores!$C$6:$C$65,MATCH($A47,Consultores!$A$6:$A$65,0)),IF(_xlpm.horas=0,"",IFERROR(_xlpm.horas/_xlpm.capacidad,"")))</f>
        <v/>
      </c>
      <c r="Q47" s="34">
        <f>_xlfn.LET(_xlpm.horas,K47,_xlpm.feriados,IF($H47="CO",FER_CO,FER_EC),_xlpm.capacidad,NETWORKDAYS(K$3,K$4,_xlpm.feriados)*INDEX(Consultores!$C$6:$C$65,MATCH($A47,Consultores!$A$6:$A$65,0)),IF(_xlpm.horas=0,"",IFERROR(_xlpm.horas/_xlpm.capacidad,"")))</f>
        <v/>
      </c>
      <c r="R47" s="34">
        <f>_xlfn.LET(_xlpm.horas,L47,_xlpm.feriados,IF($H47="CO",FER_CO,FER_EC),_xlpm.capacidad,NETWORKDAYS(L$3,L$4,_xlpm.feriados)*INDEX(Consultores!$C$6:$C$65,MATCH($A47,Consultores!$A$6:$A$65,0)),IF(_xlpm.horas=0,"",IFERROR(_xlpm.horas/_xlpm.capacidad,"")))</f>
        <v/>
      </c>
      <c r="S47" s="34">
        <f>_xlfn.LET(_xlpm.horas,M47,_xlpm.feriados,IF($H47="CO",FER_CO,FER_EC),_xlpm.capacidad,NETWORKDAYS(M$3,M$4,_xlpm.feriados)*INDEX(Consultores!$C$6:$C$65,MATCH($A47,Consultores!$A$6:$A$65,0)),IF(_xlpm.horas=0,"",IFERROR(_xlpm.horas/_xlpm.capacidad,"")))</f>
        <v/>
      </c>
      <c r="T47" s="34">
        <f>_xlfn.LET(_xlpm.horas,N47,_xlpm.feriados,IF($H47="CO",FER_CO,FER_EC),_xlpm.capacidad,NETWORKDAYS(N$3,N$4,_xlpm.feriados)*INDEX(Consultores!$C$6:$C$65,MATCH($A47,Consultores!$A$6:$A$65,0)),IF(_xlpm.horas=0,"",IFERROR(_xlpm.horas/_xlpm.capacidad,"")))</f>
        <v/>
      </c>
      <c r="U47" s="34">
        <f>_xlfn.LET(_xlpm.horas,O47,_xlpm.feriados,IF($H47="CO",FER_CO,FER_EC),_xlpm.capacidad,NETWORKDAYS(O$3,O$4,_xlpm.feriados)*INDEX(Consultores!$C$6:$C$65,MATCH($A47,Consultores!$A$6:$A$65,0)),IF(_xlpm.horas=0,"",IFERROR(_xlpm.horas/_xlpm.capacidad,"")))</f>
        <v/>
      </c>
    </row>
    <row r="48">
      <c r="A48" s="25" t="n"/>
      <c r="B48" s="25" t="n"/>
      <c r="C48" s="25" t="n"/>
      <c r="D48" s="30" t="n"/>
      <c r="E48" s="30" t="n"/>
      <c r="F48" s="26" t="n"/>
      <c r="G48" s="25" t="n"/>
      <c r="H48" s="31">
        <f>IF($A48="","",IFERROR(INDEX(Consultores!$B$6:$B$65,MATCH($A48,Consultores!$A$6:$A$65,0)),"No existe"))</f>
        <v/>
      </c>
      <c r="I48" s="32">
        <f>IF($F48="",0,$F48/5)</f>
        <v/>
      </c>
      <c r="J48" s="33">
        <f>_xlfn.LET(_xlpm.inicio,MAX($D48,J$3),_xlpm.fin,MIN($E48,J$4),_xlpm.feriados,IF($H48="CO",FER_CO,FER_EC),_xlpm.dias,IF(_xlpm.inicio&gt;_xlpm.fin,0,NETWORKDAYS(_xlpm.inicio,_xlpm.fin,_xlpm.feriados)),_xlpm.factor,IF($G48="Probable",IF(Parametros!$B$6="Sí",1,0),1),IF(OR($A48="",$D48="",$E48=""),0,_xlpm.dias*$I48*_xlpm.factor))</f>
        <v/>
      </c>
      <c r="K48" s="33">
        <f>_xlfn.LET(_xlpm.inicio,MAX($D48,K$3),_xlpm.fin,MIN($E48,K$4),_xlpm.feriados,IF($H48="CO",FER_CO,FER_EC),_xlpm.dias,IF(_xlpm.inicio&gt;_xlpm.fin,0,NETWORKDAYS(_xlpm.inicio,_xlpm.fin,_xlpm.feriados)),_xlpm.factor,IF($G48="Probable",IF(Parametros!$B$6="Sí",1,0),1),IF(OR($A48="",$D48="",$E48=""),0,_xlpm.dias*$I48*_xlpm.factor))</f>
        <v/>
      </c>
      <c r="L48" s="33">
        <f>_xlfn.LET(_xlpm.inicio,MAX($D48,L$3),_xlpm.fin,MIN($E48,L$4),_xlpm.feriados,IF($H48="CO",FER_CO,FER_EC),_xlpm.dias,IF(_xlpm.inicio&gt;_xlpm.fin,0,NETWORKDAYS(_xlpm.inicio,_xlpm.fin,_xlpm.feriados)),_xlpm.factor,IF($G48="Probable",IF(Parametros!$B$6="Sí",1,0),1),IF(OR($A48="",$D48="",$E48=""),0,_xlpm.dias*$I48*_xlpm.factor))</f>
        <v/>
      </c>
      <c r="M48" s="33">
        <f>_xlfn.LET(_xlpm.inicio,MAX($D48,M$3),_xlpm.fin,MIN($E48,M$4),_xlpm.feriados,IF($H48="CO",FER_CO,FER_EC),_xlpm.dias,IF(_xlpm.inicio&gt;_xlpm.fin,0,NETWORKDAYS(_xlpm.inicio,_xlpm.fin,_xlpm.feriados)),_xlpm.factor,IF($G48="Probable",IF(Parametros!$B$6="Sí",1,0),1),IF(OR($A48="",$D48="",$E48=""),0,_xlpm.dias*$I48*_xlpm.factor))</f>
        <v/>
      </c>
      <c r="N48" s="33">
        <f>_xlfn.LET(_xlpm.inicio,MAX($D48,N$3),_xlpm.fin,MIN($E48,N$4),_xlpm.feriados,IF($H48="CO",FER_CO,FER_EC),_xlpm.dias,IF(_xlpm.inicio&gt;_xlpm.fin,0,NETWORKDAYS(_xlpm.inicio,_xlpm.fin,_xlpm.feriados)),_xlpm.factor,IF($G48="Probable",IF(Parametros!$B$6="Sí",1,0),1),IF(OR($A48="",$D48="",$E48=""),0,_xlpm.dias*$I48*_xlpm.factor))</f>
        <v/>
      </c>
      <c r="O48" s="33">
        <f>_xlfn.LET(_xlpm.inicio,MAX($D48,O$3),_xlpm.fin,MIN($E48,O$4),_xlpm.feriados,IF($H48="CO",FER_CO,FER_EC),_xlpm.dias,IF(_xlpm.inicio&gt;_xlpm.fin,0,NETWORKDAYS(_xlpm.inicio,_xlpm.fin,_xlpm.feriados)),_xlpm.factor,IF($G48="Probable",IF(Parametros!$B$6="Sí",1,0),1),IF(OR($A48="",$D48="",$E48=""),0,_xlpm.dias*$I48*_xlpm.factor))</f>
        <v/>
      </c>
      <c r="P48" s="34">
        <f>_xlfn.LET(_xlpm.horas,J48,_xlpm.feriados,IF($H48="CO",FER_CO,FER_EC),_xlpm.capacidad,NETWORKDAYS(J$3,J$4,_xlpm.feriados)*INDEX(Consultores!$C$6:$C$65,MATCH($A48,Consultores!$A$6:$A$65,0)),IF(_xlpm.horas=0,"",IFERROR(_xlpm.horas/_xlpm.capacidad,"")))</f>
        <v/>
      </c>
      <c r="Q48" s="34">
        <f>_xlfn.LET(_xlpm.horas,K48,_xlpm.feriados,IF($H48="CO",FER_CO,FER_EC),_xlpm.capacidad,NETWORKDAYS(K$3,K$4,_xlpm.feriados)*INDEX(Consultores!$C$6:$C$65,MATCH($A48,Consultores!$A$6:$A$65,0)),IF(_xlpm.horas=0,"",IFERROR(_xlpm.horas/_xlpm.capacidad,"")))</f>
        <v/>
      </c>
      <c r="R48" s="34">
        <f>_xlfn.LET(_xlpm.horas,L48,_xlpm.feriados,IF($H48="CO",FER_CO,FER_EC),_xlpm.capacidad,NETWORKDAYS(L$3,L$4,_xlpm.feriados)*INDEX(Consultores!$C$6:$C$65,MATCH($A48,Consultores!$A$6:$A$65,0)),IF(_xlpm.horas=0,"",IFERROR(_xlpm.horas/_xlpm.capacidad,"")))</f>
        <v/>
      </c>
      <c r="S48" s="34">
        <f>_xlfn.LET(_xlpm.horas,M48,_xlpm.feriados,IF($H48="CO",FER_CO,FER_EC),_xlpm.capacidad,NETWORKDAYS(M$3,M$4,_xlpm.feriados)*INDEX(Consultores!$C$6:$C$65,MATCH($A48,Consultores!$A$6:$A$65,0)),IF(_xlpm.horas=0,"",IFERROR(_xlpm.horas/_xlpm.capacidad,"")))</f>
        <v/>
      </c>
      <c r="T48" s="34">
        <f>_xlfn.LET(_xlpm.horas,N48,_xlpm.feriados,IF($H48="CO",FER_CO,FER_EC),_xlpm.capacidad,NETWORKDAYS(N$3,N$4,_xlpm.feriados)*INDEX(Consultores!$C$6:$C$65,MATCH($A48,Consultores!$A$6:$A$65,0)),IF(_xlpm.horas=0,"",IFERROR(_xlpm.horas/_xlpm.capacidad,"")))</f>
        <v/>
      </c>
      <c r="U48" s="34">
        <f>_xlfn.LET(_xlpm.horas,O48,_xlpm.feriados,IF($H48="CO",FER_CO,FER_EC),_xlpm.capacidad,NETWORKDAYS(O$3,O$4,_xlpm.feriados)*INDEX(Consultores!$C$6:$C$65,MATCH($A48,Consultores!$A$6:$A$65,0)),IF(_xlpm.horas=0,"",IFERROR(_xlpm.horas/_xlpm.capacidad,"")))</f>
        <v/>
      </c>
    </row>
    <row r="49">
      <c r="A49" s="25" t="n"/>
      <c r="B49" s="25" t="n"/>
      <c r="C49" s="25" t="n"/>
      <c r="D49" s="30" t="n"/>
      <c r="E49" s="30" t="n"/>
      <c r="F49" s="26" t="n"/>
      <c r="G49" s="25" t="n"/>
      <c r="H49" s="31">
        <f>IF($A49="","",IFERROR(INDEX(Consultores!$B$6:$B$65,MATCH($A49,Consultores!$A$6:$A$65,0)),"No existe"))</f>
        <v/>
      </c>
      <c r="I49" s="32">
        <f>IF($F49="",0,$F49/5)</f>
        <v/>
      </c>
      <c r="J49" s="33">
        <f>_xlfn.LET(_xlpm.inicio,MAX($D49,J$3),_xlpm.fin,MIN($E49,J$4),_xlpm.feriados,IF($H49="CO",FER_CO,FER_EC),_xlpm.dias,IF(_xlpm.inicio&gt;_xlpm.fin,0,NETWORKDAYS(_xlpm.inicio,_xlpm.fin,_xlpm.feriados)),_xlpm.factor,IF($G49="Probable",IF(Parametros!$B$6="Sí",1,0),1),IF(OR($A49="",$D49="",$E49=""),0,_xlpm.dias*$I49*_xlpm.factor))</f>
        <v/>
      </c>
      <c r="K49" s="33">
        <f>_xlfn.LET(_xlpm.inicio,MAX($D49,K$3),_xlpm.fin,MIN($E49,K$4),_xlpm.feriados,IF($H49="CO",FER_CO,FER_EC),_xlpm.dias,IF(_xlpm.inicio&gt;_xlpm.fin,0,NETWORKDAYS(_xlpm.inicio,_xlpm.fin,_xlpm.feriados)),_xlpm.factor,IF($G49="Probable",IF(Parametros!$B$6="Sí",1,0),1),IF(OR($A49="",$D49="",$E49=""),0,_xlpm.dias*$I49*_xlpm.factor))</f>
        <v/>
      </c>
      <c r="L49" s="33">
        <f>_xlfn.LET(_xlpm.inicio,MAX($D49,L$3),_xlpm.fin,MIN($E49,L$4),_xlpm.feriados,IF($H49="CO",FER_CO,FER_EC),_xlpm.dias,IF(_xlpm.inicio&gt;_xlpm.fin,0,NETWORKDAYS(_xlpm.inicio,_xlpm.fin,_xlpm.feriados)),_xlpm.factor,IF($G49="Probable",IF(Parametros!$B$6="Sí",1,0),1),IF(OR($A49="",$D49="",$E49=""),0,_xlpm.dias*$I49*_xlpm.factor))</f>
        <v/>
      </c>
      <c r="M49" s="33">
        <f>_xlfn.LET(_xlpm.inicio,MAX($D49,M$3),_xlpm.fin,MIN($E49,M$4),_xlpm.feriados,IF($H49="CO",FER_CO,FER_EC),_xlpm.dias,IF(_xlpm.inicio&gt;_xlpm.fin,0,NETWORKDAYS(_xlpm.inicio,_xlpm.fin,_xlpm.feriados)),_xlpm.factor,IF($G49="Probable",IF(Parametros!$B$6="Sí",1,0),1),IF(OR($A49="",$D49="",$E49=""),0,_xlpm.dias*$I49*_xlpm.factor))</f>
        <v/>
      </c>
      <c r="N49" s="33">
        <f>_xlfn.LET(_xlpm.inicio,MAX($D49,N$3),_xlpm.fin,MIN($E49,N$4),_xlpm.feriados,IF($H49="CO",FER_CO,FER_EC),_xlpm.dias,IF(_xlpm.inicio&gt;_xlpm.fin,0,NETWORKDAYS(_xlpm.inicio,_xlpm.fin,_xlpm.feriados)),_xlpm.factor,IF($G49="Probable",IF(Parametros!$B$6="Sí",1,0),1),IF(OR($A49="",$D49="",$E49=""),0,_xlpm.dias*$I49*_xlpm.factor))</f>
        <v/>
      </c>
      <c r="O49" s="33">
        <f>_xlfn.LET(_xlpm.inicio,MAX($D49,O$3),_xlpm.fin,MIN($E49,O$4),_xlpm.feriados,IF($H49="CO",FER_CO,FER_EC),_xlpm.dias,IF(_xlpm.inicio&gt;_xlpm.fin,0,NETWORKDAYS(_xlpm.inicio,_xlpm.fin,_xlpm.feriados)),_xlpm.factor,IF($G49="Probable",IF(Parametros!$B$6="Sí",1,0),1),IF(OR($A49="",$D49="",$E49=""),0,_xlpm.dias*$I49*_xlpm.factor))</f>
        <v/>
      </c>
      <c r="P49" s="34">
        <f>_xlfn.LET(_xlpm.horas,J49,_xlpm.feriados,IF($H49="CO",FER_CO,FER_EC),_xlpm.capacidad,NETWORKDAYS(J$3,J$4,_xlpm.feriados)*INDEX(Consultores!$C$6:$C$65,MATCH($A49,Consultores!$A$6:$A$65,0)),IF(_xlpm.horas=0,"",IFERROR(_xlpm.horas/_xlpm.capacidad,"")))</f>
        <v/>
      </c>
      <c r="Q49" s="34">
        <f>_xlfn.LET(_xlpm.horas,K49,_xlpm.feriados,IF($H49="CO",FER_CO,FER_EC),_xlpm.capacidad,NETWORKDAYS(K$3,K$4,_xlpm.feriados)*INDEX(Consultores!$C$6:$C$65,MATCH($A49,Consultores!$A$6:$A$65,0)),IF(_xlpm.horas=0,"",IFERROR(_xlpm.horas/_xlpm.capacidad,"")))</f>
        <v/>
      </c>
      <c r="R49" s="34">
        <f>_xlfn.LET(_xlpm.horas,L49,_xlpm.feriados,IF($H49="CO",FER_CO,FER_EC),_xlpm.capacidad,NETWORKDAYS(L$3,L$4,_xlpm.feriados)*INDEX(Consultores!$C$6:$C$65,MATCH($A49,Consultores!$A$6:$A$65,0)),IF(_xlpm.horas=0,"",IFERROR(_xlpm.horas/_xlpm.capacidad,"")))</f>
        <v/>
      </c>
      <c r="S49" s="34">
        <f>_xlfn.LET(_xlpm.horas,M49,_xlpm.feriados,IF($H49="CO",FER_CO,FER_EC),_xlpm.capacidad,NETWORKDAYS(M$3,M$4,_xlpm.feriados)*INDEX(Consultores!$C$6:$C$65,MATCH($A49,Consultores!$A$6:$A$65,0)),IF(_xlpm.horas=0,"",IFERROR(_xlpm.horas/_xlpm.capacidad,"")))</f>
        <v/>
      </c>
      <c r="T49" s="34">
        <f>_xlfn.LET(_xlpm.horas,N49,_xlpm.feriados,IF($H49="CO",FER_CO,FER_EC),_xlpm.capacidad,NETWORKDAYS(N$3,N$4,_xlpm.feriados)*INDEX(Consultores!$C$6:$C$65,MATCH($A49,Consultores!$A$6:$A$65,0)),IF(_xlpm.horas=0,"",IFERROR(_xlpm.horas/_xlpm.capacidad,"")))</f>
        <v/>
      </c>
      <c r="U49" s="34">
        <f>_xlfn.LET(_xlpm.horas,O49,_xlpm.feriados,IF($H49="CO",FER_CO,FER_EC),_xlpm.capacidad,NETWORKDAYS(O$3,O$4,_xlpm.feriados)*INDEX(Consultores!$C$6:$C$65,MATCH($A49,Consultores!$A$6:$A$65,0)),IF(_xlpm.horas=0,"",IFERROR(_xlpm.horas/_xlpm.capacidad,"")))</f>
        <v/>
      </c>
    </row>
    <row r="50">
      <c r="A50" s="25" t="n"/>
      <c r="B50" s="25" t="n"/>
      <c r="C50" s="25" t="n"/>
      <c r="D50" s="30" t="n"/>
      <c r="E50" s="30" t="n"/>
      <c r="F50" s="26" t="n"/>
      <c r="G50" s="25" t="n"/>
      <c r="H50" s="31">
        <f>IF($A50="","",IFERROR(INDEX(Consultores!$B$6:$B$65,MATCH($A50,Consultores!$A$6:$A$65,0)),"No existe"))</f>
        <v/>
      </c>
      <c r="I50" s="32">
        <f>IF($F50="",0,$F50/5)</f>
        <v/>
      </c>
      <c r="J50" s="33">
        <f>_xlfn.LET(_xlpm.inicio,MAX($D50,J$3),_xlpm.fin,MIN($E50,J$4),_xlpm.feriados,IF($H50="CO",FER_CO,FER_EC),_xlpm.dias,IF(_xlpm.inicio&gt;_xlpm.fin,0,NETWORKDAYS(_xlpm.inicio,_xlpm.fin,_xlpm.feriados)),_xlpm.factor,IF($G50="Probable",IF(Parametros!$B$6="Sí",1,0),1),IF(OR($A50="",$D50="",$E50=""),0,_xlpm.dias*$I50*_xlpm.factor))</f>
        <v/>
      </c>
      <c r="K50" s="33">
        <f>_xlfn.LET(_xlpm.inicio,MAX($D50,K$3),_xlpm.fin,MIN($E50,K$4),_xlpm.feriados,IF($H50="CO",FER_CO,FER_EC),_xlpm.dias,IF(_xlpm.inicio&gt;_xlpm.fin,0,NETWORKDAYS(_xlpm.inicio,_xlpm.fin,_xlpm.feriados)),_xlpm.factor,IF($G50="Probable",IF(Parametros!$B$6="Sí",1,0),1),IF(OR($A50="",$D50="",$E50=""),0,_xlpm.dias*$I50*_xlpm.factor))</f>
        <v/>
      </c>
      <c r="L50" s="33">
        <f>_xlfn.LET(_xlpm.inicio,MAX($D50,L$3),_xlpm.fin,MIN($E50,L$4),_xlpm.feriados,IF($H50="CO",FER_CO,FER_EC),_xlpm.dias,IF(_xlpm.inicio&gt;_xlpm.fin,0,NETWORKDAYS(_xlpm.inicio,_xlpm.fin,_xlpm.feriados)),_xlpm.factor,IF($G50="Probable",IF(Parametros!$B$6="Sí",1,0),1),IF(OR($A50="",$D50="",$E50=""),0,_xlpm.dias*$I50*_xlpm.factor))</f>
        <v/>
      </c>
      <c r="M50" s="33">
        <f>_xlfn.LET(_xlpm.inicio,MAX($D50,M$3),_xlpm.fin,MIN($E50,M$4),_xlpm.feriados,IF($H50="CO",FER_CO,FER_EC),_xlpm.dias,IF(_xlpm.inicio&gt;_xlpm.fin,0,NETWORKDAYS(_xlpm.inicio,_xlpm.fin,_xlpm.feriados)),_xlpm.factor,IF($G50="Probable",IF(Parametros!$B$6="Sí",1,0),1),IF(OR($A50="",$D50="",$E50=""),0,_xlpm.dias*$I50*_xlpm.factor))</f>
        <v/>
      </c>
      <c r="N50" s="33">
        <f>_xlfn.LET(_xlpm.inicio,MAX($D50,N$3),_xlpm.fin,MIN($E50,N$4),_xlpm.feriados,IF($H50="CO",FER_CO,FER_EC),_xlpm.dias,IF(_xlpm.inicio&gt;_xlpm.fin,0,NETWORKDAYS(_xlpm.inicio,_xlpm.fin,_xlpm.feriados)),_xlpm.factor,IF($G50="Probable",IF(Parametros!$B$6="Sí",1,0),1),IF(OR($A50="",$D50="",$E50=""),0,_xlpm.dias*$I50*_xlpm.factor))</f>
        <v/>
      </c>
      <c r="O50" s="33">
        <f>_xlfn.LET(_xlpm.inicio,MAX($D50,O$3),_xlpm.fin,MIN($E50,O$4),_xlpm.feriados,IF($H50="CO",FER_CO,FER_EC),_xlpm.dias,IF(_xlpm.inicio&gt;_xlpm.fin,0,NETWORKDAYS(_xlpm.inicio,_xlpm.fin,_xlpm.feriados)),_xlpm.factor,IF($G50="Probable",IF(Parametros!$B$6="Sí",1,0),1),IF(OR($A50="",$D50="",$E50=""),0,_xlpm.dias*$I50*_xlpm.factor))</f>
        <v/>
      </c>
      <c r="P50" s="34">
        <f>_xlfn.LET(_xlpm.horas,J50,_xlpm.feriados,IF($H50="CO",FER_CO,FER_EC),_xlpm.capacidad,NETWORKDAYS(J$3,J$4,_xlpm.feriados)*INDEX(Consultores!$C$6:$C$65,MATCH($A50,Consultores!$A$6:$A$65,0)),IF(_xlpm.horas=0,"",IFERROR(_xlpm.horas/_xlpm.capacidad,"")))</f>
        <v/>
      </c>
      <c r="Q50" s="34">
        <f>_xlfn.LET(_xlpm.horas,K50,_xlpm.feriados,IF($H50="CO",FER_CO,FER_EC),_xlpm.capacidad,NETWORKDAYS(K$3,K$4,_xlpm.feriados)*INDEX(Consultores!$C$6:$C$65,MATCH($A50,Consultores!$A$6:$A$65,0)),IF(_xlpm.horas=0,"",IFERROR(_xlpm.horas/_xlpm.capacidad,"")))</f>
        <v/>
      </c>
      <c r="R50" s="34">
        <f>_xlfn.LET(_xlpm.horas,L50,_xlpm.feriados,IF($H50="CO",FER_CO,FER_EC),_xlpm.capacidad,NETWORKDAYS(L$3,L$4,_xlpm.feriados)*INDEX(Consultores!$C$6:$C$65,MATCH($A50,Consultores!$A$6:$A$65,0)),IF(_xlpm.horas=0,"",IFERROR(_xlpm.horas/_xlpm.capacidad,"")))</f>
        <v/>
      </c>
      <c r="S50" s="34">
        <f>_xlfn.LET(_xlpm.horas,M50,_xlpm.feriados,IF($H50="CO",FER_CO,FER_EC),_xlpm.capacidad,NETWORKDAYS(M$3,M$4,_xlpm.feriados)*INDEX(Consultores!$C$6:$C$65,MATCH($A50,Consultores!$A$6:$A$65,0)),IF(_xlpm.horas=0,"",IFERROR(_xlpm.horas/_xlpm.capacidad,"")))</f>
        <v/>
      </c>
      <c r="T50" s="34">
        <f>_xlfn.LET(_xlpm.horas,N50,_xlpm.feriados,IF($H50="CO",FER_CO,FER_EC),_xlpm.capacidad,NETWORKDAYS(N$3,N$4,_xlpm.feriados)*INDEX(Consultores!$C$6:$C$65,MATCH($A50,Consultores!$A$6:$A$65,0)),IF(_xlpm.horas=0,"",IFERROR(_xlpm.horas/_xlpm.capacidad,"")))</f>
        <v/>
      </c>
      <c r="U50" s="34">
        <f>_xlfn.LET(_xlpm.horas,O50,_xlpm.feriados,IF($H50="CO",FER_CO,FER_EC),_xlpm.capacidad,NETWORKDAYS(O$3,O$4,_xlpm.feriados)*INDEX(Consultores!$C$6:$C$65,MATCH($A50,Consultores!$A$6:$A$65,0)),IF(_xlpm.horas=0,"",IFERROR(_xlpm.horas/_xlpm.capacidad,"")))</f>
        <v/>
      </c>
    </row>
    <row r="51">
      <c r="A51" s="25" t="n"/>
      <c r="B51" s="25" t="n"/>
      <c r="C51" s="25" t="n"/>
      <c r="D51" s="30" t="n"/>
      <c r="E51" s="30" t="n"/>
      <c r="F51" s="26" t="n"/>
      <c r="G51" s="25" t="n"/>
      <c r="H51" s="31">
        <f>IF($A51="","",IFERROR(INDEX(Consultores!$B$6:$B$65,MATCH($A51,Consultores!$A$6:$A$65,0)),"No existe"))</f>
        <v/>
      </c>
      <c r="I51" s="32">
        <f>IF($F51="",0,$F51/5)</f>
        <v/>
      </c>
      <c r="J51" s="33">
        <f>_xlfn.LET(_xlpm.inicio,MAX($D51,J$3),_xlpm.fin,MIN($E51,J$4),_xlpm.feriados,IF($H51="CO",FER_CO,FER_EC),_xlpm.dias,IF(_xlpm.inicio&gt;_xlpm.fin,0,NETWORKDAYS(_xlpm.inicio,_xlpm.fin,_xlpm.feriados)),_xlpm.factor,IF($G51="Probable",IF(Parametros!$B$6="Sí",1,0),1),IF(OR($A51="",$D51="",$E51=""),0,_xlpm.dias*$I51*_xlpm.factor))</f>
        <v/>
      </c>
      <c r="K51" s="33">
        <f>_xlfn.LET(_xlpm.inicio,MAX($D51,K$3),_xlpm.fin,MIN($E51,K$4),_xlpm.feriados,IF($H51="CO",FER_CO,FER_EC),_xlpm.dias,IF(_xlpm.inicio&gt;_xlpm.fin,0,NETWORKDAYS(_xlpm.inicio,_xlpm.fin,_xlpm.feriados)),_xlpm.factor,IF($G51="Probable",IF(Parametros!$B$6="Sí",1,0),1),IF(OR($A51="",$D51="",$E51=""),0,_xlpm.dias*$I51*_xlpm.factor))</f>
        <v/>
      </c>
      <c r="L51" s="33">
        <f>_xlfn.LET(_xlpm.inicio,MAX($D51,L$3),_xlpm.fin,MIN($E51,L$4),_xlpm.feriados,IF($H51="CO",FER_CO,FER_EC),_xlpm.dias,IF(_xlpm.inicio&gt;_xlpm.fin,0,NETWORKDAYS(_xlpm.inicio,_xlpm.fin,_xlpm.feriados)),_xlpm.factor,IF($G51="Probable",IF(Parametros!$B$6="Sí",1,0),1),IF(OR($A51="",$D51="",$E51=""),0,_xlpm.dias*$I51*_xlpm.factor))</f>
        <v/>
      </c>
      <c r="M51" s="33">
        <f>_xlfn.LET(_xlpm.inicio,MAX($D51,M$3),_xlpm.fin,MIN($E51,M$4),_xlpm.feriados,IF($H51="CO",FER_CO,FER_EC),_xlpm.dias,IF(_xlpm.inicio&gt;_xlpm.fin,0,NETWORKDAYS(_xlpm.inicio,_xlpm.fin,_xlpm.feriados)),_xlpm.factor,IF($G51="Probable",IF(Parametros!$B$6="Sí",1,0),1),IF(OR($A51="",$D51="",$E51=""),0,_xlpm.dias*$I51*_xlpm.factor))</f>
        <v/>
      </c>
      <c r="N51" s="33">
        <f>_xlfn.LET(_xlpm.inicio,MAX($D51,N$3),_xlpm.fin,MIN($E51,N$4),_xlpm.feriados,IF($H51="CO",FER_CO,FER_EC),_xlpm.dias,IF(_xlpm.inicio&gt;_xlpm.fin,0,NETWORKDAYS(_xlpm.inicio,_xlpm.fin,_xlpm.feriados)),_xlpm.factor,IF($G51="Probable",IF(Parametros!$B$6="Sí",1,0),1),IF(OR($A51="",$D51="",$E51=""),0,_xlpm.dias*$I51*_xlpm.factor))</f>
        <v/>
      </c>
      <c r="O51" s="33">
        <f>_xlfn.LET(_xlpm.inicio,MAX($D51,O$3),_xlpm.fin,MIN($E51,O$4),_xlpm.feriados,IF($H51="CO",FER_CO,FER_EC),_xlpm.dias,IF(_xlpm.inicio&gt;_xlpm.fin,0,NETWORKDAYS(_xlpm.inicio,_xlpm.fin,_xlpm.feriados)),_xlpm.factor,IF($G51="Probable",IF(Parametros!$B$6="Sí",1,0),1),IF(OR($A51="",$D51="",$E51=""),0,_xlpm.dias*$I51*_xlpm.factor))</f>
        <v/>
      </c>
      <c r="P51" s="34">
        <f>_xlfn.LET(_xlpm.horas,J51,_xlpm.feriados,IF($H51="CO",FER_CO,FER_EC),_xlpm.capacidad,NETWORKDAYS(J$3,J$4,_xlpm.feriados)*INDEX(Consultores!$C$6:$C$65,MATCH($A51,Consultores!$A$6:$A$65,0)),IF(_xlpm.horas=0,"",IFERROR(_xlpm.horas/_xlpm.capacidad,"")))</f>
        <v/>
      </c>
      <c r="Q51" s="34">
        <f>_xlfn.LET(_xlpm.horas,K51,_xlpm.feriados,IF($H51="CO",FER_CO,FER_EC),_xlpm.capacidad,NETWORKDAYS(K$3,K$4,_xlpm.feriados)*INDEX(Consultores!$C$6:$C$65,MATCH($A51,Consultores!$A$6:$A$65,0)),IF(_xlpm.horas=0,"",IFERROR(_xlpm.horas/_xlpm.capacidad,"")))</f>
        <v/>
      </c>
      <c r="R51" s="34">
        <f>_xlfn.LET(_xlpm.horas,L51,_xlpm.feriados,IF($H51="CO",FER_CO,FER_EC),_xlpm.capacidad,NETWORKDAYS(L$3,L$4,_xlpm.feriados)*INDEX(Consultores!$C$6:$C$65,MATCH($A51,Consultores!$A$6:$A$65,0)),IF(_xlpm.horas=0,"",IFERROR(_xlpm.horas/_xlpm.capacidad,"")))</f>
        <v/>
      </c>
      <c r="S51" s="34">
        <f>_xlfn.LET(_xlpm.horas,M51,_xlpm.feriados,IF($H51="CO",FER_CO,FER_EC),_xlpm.capacidad,NETWORKDAYS(M$3,M$4,_xlpm.feriados)*INDEX(Consultores!$C$6:$C$65,MATCH($A51,Consultores!$A$6:$A$65,0)),IF(_xlpm.horas=0,"",IFERROR(_xlpm.horas/_xlpm.capacidad,"")))</f>
        <v/>
      </c>
      <c r="T51" s="34">
        <f>_xlfn.LET(_xlpm.horas,N51,_xlpm.feriados,IF($H51="CO",FER_CO,FER_EC),_xlpm.capacidad,NETWORKDAYS(N$3,N$4,_xlpm.feriados)*INDEX(Consultores!$C$6:$C$65,MATCH($A51,Consultores!$A$6:$A$65,0)),IF(_xlpm.horas=0,"",IFERROR(_xlpm.horas/_xlpm.capacidad,"")))</f>
        <v/>
      </c>
      <c r="U51" s="34">
        <f>_xlfn.LET(_xlpm.horas,O51,_xlpm.feriados,IF($H51="CO",FER_CO,FER_EC),_xlpm.capacidad,NETWORKDAYS(O$3,O$4,_xlpm.feriados)*INDEX(Consultores!$C$6:$C$65,MATCH($A51,Consultores!$A$6:$A$65,0)),IF(_xlpm.horas=0,"",IFERROR(_xlpm.horas/_xlpm.capacidad,"")))</f>
        <v/>
      </c>
    </row>
    <row r="52">
      <c r="A52" s="25" t="n"/>
      <c r="B52" s="25" t="n"/>
      <c r="C52" s="25" t="n"/>
      <c r="D52" s="30" t="n"/>
      <c r="E52" s="30" t="n"/>
      <c r="F52" s="26" t="n"/>
      <c r="G52" s="25" t="n"/>
      <c r="H52" s="31">
        <f>IF($A52="","",IFERROR(INDEX(Consultores!$B$6:$B$65,MATCH($A52,Consultores!$A$6:$A$65,0)),"No existe"))</f>
        <v/>
      </c>
      <c r="I52" s="32">
        <f>IF($F52="",0,$F52/5)</f>
        <v/>
      </c>
      <c r="J52" s="33">
        <f>_xlfn.LET(_xlpm.inicio,MAX($D52,J$3),_xlpm.fin,MIN($E52,J$4),_xlpm.feriados,IF($H52="CO",FER_CO,FER_EC),_xlpm.dias,IF(_xlpm.inicio&gt;_xlpm.fin,0,NETWORKDAYS(_xlpm.inicio,_xlpm.fin,_xlpm.feriados)),_xlpm.factor,IF($G52="Probable",IF(Parametros!$B$6="Sí",1,0),1),IF(OR($A52="",$D52="",$E52=""),0,_xlpm.dias*$I52*_xlpm.factor))</f>
        <v/>
      </c>
      <c r="K52" s="33">
        <f>_xlfn.LET(_xlpm.inicio,MAX($D52,K$3),_xlpm.fin,MIN($E52,K$4),_xlpm.feriados,IF($H52="CO",FER_CO,FER_EC),_xlpm.dias,IF(_xlpm.inicio&gt;_xlpm.fin,0,NETWORKDAYS(_xlpm.inicio,_xlpm.fin,_xlpm.feriados)),_xlpm.factor,IF($G52="Probable",IF(Parametros!$B$6="Sí",1,0),1),IF(OR($A52="",$D52="",$E52=""),0,_xlpm.dias*$I52*_xlpm.factor))</f>
        <v/>
      </c>
      <c r="L52" s="33">
        <f>_xlfn.LET(_xlpm.inicio,MAX($D52,L$3),_xlpm.fin,MIN($E52,L$4),_xlpm.feriados,IF($H52="CO",FER_CO,FER_EC),_xlpm.dias,IF(_xlpm.inicio&gt;_xlpm.fin,0,NETWORKDAYS(_xlpm.inicio,_xlpm.fin,_xlpm.feriados)),_xlpm.factor,IF($G52="Probable",IF(Parametros!$B$6="Sí",1,0),1),IF(OR($A52="",$D52="",$E52=""),0,_xlpm.dias*$I52*_xlpm.factor))</f>
        <v/>
      </c>
      <c r="M52" s="33">
        <f>_xlfn.LET(_xlpm.inicio,MAX($D52,M$3),_xlpm.fin,MIN($E52,M$4),_xlpm.feriados,IF($H52="CO",FER_CO,FER_EC),_xlpm.dias,IF(_xlpm.inicio&gt;_xlpm.fin,0,NETWORKDAYS(_xlpm.inicio,_xlpm.fin,_xlpm.feriados)),_xlpm.factor,IF($G52="Probable",IF(Parametros!$B$6="Sí",1,0),1),IF(OR($A52="",$D52="",$E52=""),0,_xlpm.dias*$I52*_xlpm.factor))</f>
        <v/>
      </c>
      <c r="N52" s="33">
        <f>_xlfn.LET(_xlpm.inicio,MAX($D52,N$3),_xlpm.fin,MIN($E52,N$4),_xlpm.feriados,IF($H52="CO",FER_CO,FER_EC),_xlpm.dias,IF(_xlpm.inicio&gt;_xlpm.fin,0,NETWORKDAYS(_xlpm.inicio,_xlpm.fin,_xlpm.feriados)),_xlpm.factor,IF($G52="Probable",IF(Parametros!$B$6="Sí",1,0),1),IF(OR($A52="",$D52="",$E52=""),0,_xlpm.dias*$I52*_xlpm.factor))</f>
        <v/>
      </c>
      <c r="O52" s="33">
        <f>_xlfn.LET(_xlpm.inicio,MAX($D52,O$3),_xlpm.fin,MIN($E52,O$4),_xlpm.feriados,IF($H52="CO",FER_CO,FER_EC),_xlpm.dias,IF(_xlpm.inicio&gt;_xlpm.fin,0,NETWORKDAYS(_xlpm.inicio,_xlpm.fin,_xlpm.feriados)),_xlpm.factor,IF($G52="Probable",IF(Parametros!$B$6="Sí",1,0),1),IF(OR($A52="",$D52="",$E52=""),0,_xlpm.dias*$I52*_xlpm.factor))</f>
        <v/>
      </c>
      <c r="P52" s="34">
        <f>_xlfn.LET(_xlpm.horas,J52,_xlpm.feriados,IF($H52="CO",FER_CO,FER_EC),_xlpm.capacidad,NETWORKDAYS(J$3,J$4,_xlpm.feriados)*INDEX(Consultores!$C$6:$C$65,MATCH($A52,Consultores!$A$6:$A$65,0)),IF(_xlpm.horas=0,"",IFERROR(_xlpm.horas/_xlpm.capacidad,"")))</f>
        <v/>
      </c>
      <c r="Q52" s="34">
        <f>_xlfn.LET(_xlpm.horas,K52,_xlpm.feriados,IF($H52="CO",FER_CO,FER_EC),_xlpm.capacidad,NETWORKDAYS(K$3,K$4,_xlpm.feriados)*INDEX(Consultores!$C$6:$C$65,MATCH($A52,Consultores!$A$6:$A$65,0)),IF(_xlpm.horas=0,"",IFERROR(_xlpm.horas/_xlpm.capacidad,"")))</f>
        <v/>
      </c>
      <c r="R52" s="34">
        <f>_xlfn.LET(_xlpm.horas,L52,_xlpm.feriados,IF($H52="CO",FER_CO,FER_EC),_xlpm.capacidad,NETWORKDAYS(L$3,L$4,_xlpm.feriados)*INDEX(Consultores!$C$6:$C$65,MATCH($A52,Consultores!$A$6:$A$65,0)),IF(_xlpm.horas=0,"",IFERROR(_xlpm.horas/_xlpm.capacidad,"")))</f>
        <v/>
      </c>
      <c r="S52" s="34">
        <f>_xlfn.LET(_xlpm.horas,M52,_xlpm.feriados,IF($H52="CO",FER_CO,FER_EC),_xlpm.capacidad,NETWORKDAYS(M$3,M$4,_xlpm.feriados)*INDEX(Consultores!$C$6:$C$65,MATCH($A52,Consultores!$A$6:$A$65,0)),IF(_xlpm.horas=0,"",IFERROR(_xlpm.horas/_xlpm.capacidad,"")))</f>
        <v/>
      </c>
      <c r="T52" s="34">
        <f>_xlfn.LET(_xlpm.horas,N52,_xlpm.feriados,IF($H52="CO",FER_CO,FER_EC),_xlpm.capacidad,NETWORKDAYS(N$3,N$4,_xlpm.feriados)*INDEX(Consultores!$C$6:$C$65,MATCH($A52,Consultores!$A$6:$A$65,0)),IF(_xlpm.horas=0,"",IFERROR(_xlpm.horas/_xlpm.capacidad,"")))</f>
        <v/>
      </c>
      <c r="U52" s="34">
        <f>_xlfn.LET(_xlpm.horas,O52,_xlpm.feriados,IF($H52="CO",FER_CO,FER_EC),_xlpm.capacidad,NETWORKDAYS(O$3,O$4,_xlpm.feriados)*INDEX(Consultores!$C$6:$C$65,MATCH($A52,Consultores!$A$6:$A$65,0)),IF(_xlpm.horas=0,"",IFERROR(_xlpm.horas/_xlpm.capacidad,"")))</f>
        <v/>
      </c>
    </row>
    <row r="53">
      <c r="A53" s="25" t="n"/>
      <c r="B53" s="25" t="n"/>
      <c r="C53" s="25" t="n"/>
      <c r="D53" s="30" t="n"/>
      <c r="E53" s="30" t="n"/>
      <c r="F53" s="26" t="n"/>
      <c r="G53" s="25" t="n"/>
      <c r="H53" s="31">
        <f>IF($A53="","",IFERROR(INDEX(Consultores!$B$6:$B$65,MATCH($A53,Consultores!$A$6:$A$65,0)),"No existe"))</f>
        <v/>
      </c>
      <c r="I53" s="32">
        <f>IF($F53="",0,$F53/5)</f>
        <v/>
      </c>
      <c r="J53" s="33">
        <f>_xlfn.LET(_xlpm.inicio,MAX($D53,J$3),_xlpm.fin,MIN($E53,J$4),_xlpm.feriados,IF($H53="CO",FER_CO,FER_EC),_xlpm.dias,IF(_xlpm.inicio&gt;_xlpm.fin,0,NETWORKDAYS(_xlpm.inicio,_xlpm.fin,_xlpm.feriados)),_xlpm.factor,IF($G53="Probable",IF(Parametros!$B$6="Sí",1,0),1),IF(OR($A53="",$D53="",$E53=""),0,_xlpm.dias*$I53*_xlpm.factor))</f>
        <v/>
      </c>
      <c r="K53" s="33">
        <f>_xlfn.LET(_xlpm.inicio,MAX($D53,K$3),_xlpm.fin,MIN($E53,K$4),_xlpm.feriados,IF($H53="CO",FER_CO,FER_EC),_xlpm.dias,IF(_xlpm.inicio&gt;_xlpm.fin,0,NETWORKDAYS(_xlpm.inicio,_xlpm.fin,_xlpm.feriados)),_xlpm.factor,IF($G53="Probable",IF(Parametros!$B$6="Sí",1,0),1),IF(OR($A53="",$D53="",$E53=""),0,_xlpm.dias*$I53*_xlpm.factor))</f>
        <v/>
      </c>
      <c r="L53" s="33">
        <f>_xlfn.LET(_xlpm.inicio,MAX($D53,L$3),_xlpm.fin,MIN($E53,L$4),_xlpm.feriados,IF($H53="CO",FER_CO,FER_EC),_xlpm.dias,IF(_xlpm.inicio&gt;_xlpm.fin,0,NETWORKDAYS(_xlpm.inicio,_xlpm.fin,_xlpm.feriados)),_xlpm.factor,IF($G53="Probable",IF(Parametros!$B$6="Sí",1,0),1),IF(OR($A53="",$D53="",$E53=""),0,_xlpm.dias*$I53*_xlpm.factor))</f>
        <v/>
      </c>
      <c r="M53" s="33">
        <f>_xlfn.LET(_xlpm.inicio,MAX($D53,M$3),_xlpm.fin,MIN($E53,M$4),_xlpm.feriados,IF($H53="CO",FER_CO,FER_EC),_xlpm.dias,IF(_xlpm.inicio&gt;_xlpm.fin,0,NETWORKDAYS(_xlpm.inicio,_xlpm.fin,_xlpm.feriados)),_xlpm.factor,IF($G53="Probable",IF(Parametros!$B$6="Sí",1,0),1),IF(OR($A53="",$D53="",$E53=""),0,_xlpm.dias*$I53*_xlpm.factor))</f>
        <v/>
      </c>
      <c r="N53" s="33">
        <f>_xlfn.LET(_xlpm.inicio,MAX($D53,N$3),_xlpm.fin,MIN($E53,N$4),_xlpm.feriados,IF($H53="CO",FER_CO,FER_EC),_xlpm.dias,IF(_xlpm.inicio&gt;_xlpm.fin,0,NETWORKDAYS(_xlpm.inicio,_xlpm.fin,_xlpm.feriados)),_xlpm.factor,IF($G53="Probable",IF(Parametros!$B$6="Sí",1,0),1),IF(OR($A53="",$D53="",$E53=""),0,_xlpm.dias*$I53*_xlpm.factor))</f>
        <v/>
      </c>
      <c r="O53" s="33">
        <f>_xlfn.LET(_xlpm.inicio,MAX($D53,O$3),_xlpm.fin,MIN($E53,O$4),_xlpm.feriados,IF($H53="CO",FER_CO,FER_EC),_xlpm.dias,IF(_xlpm.inicio&gt;_xlpm.fin,0,NETWORKDAYS(_xlpm.inicio,_xlpm.fin,_xlpm.feriados)),_xlpm.factor,IF($G53="Probable",IF(Parametros!$B$6="Sí",1,0),1),IF(OR($A53="",$D53="",$E53=""),0,_xlpm.dias*$I53*_xlpm.factor))</f>
        <v/>
      </c>
      <c r="P53" s="34">
        <f>_xlfn.LET(_xlpm.horas,J53,_xlpm.feriados,IF($H53="CO",FER_CO,FER_EC),_xlpm.capacidad,NETWORKDAYS(J$3,J$4,_xlpm.feriados)*INDEX(Consultores!$C$6:$C$65,MATCH($A53,Consultores!$A$6:$A$65,0)),IF(_xlpm.horas=0,"",IFERROR(_xlpm.horas/_xlpm.capacidad,"")))</f>
        <v/>
      </c>
      <c r="Q53" s="34">
        <f>_xlfn.LET(_xlpm.horas,K53,_xlpm.feriados,IF($H53="CO",FER_CO,FER_EC),_xlpm.capacidad,NETWORKDAYS(K$3,K$4,_xlpm.feriados)*INDEX(Consultores!$C$6:$C$65,MATCH($A53,Consultores!$A$6:$A$65,0)),IF(_xlpm.horas=0,"",IFERROR(_xlpm.horas/_xlpm.capacidad,"")))</f>
        <v/>
      </c>
      <c r="R53" s="34">
        <f>_xlfn.LET(_xlpm.horas,L53,_xlpm.feriados,IF($H53="CO",FER_CO,FER_EC),_xlpm.capacidad,NETWORKDAYS(L$3,L$4,_xlpm.feriados)*INDEX(Consultores!$C$6:$C$65,MATCH($A53,Consultores!$A$6:$A$65,0)),IF(_xlpm.horas=0,"",IFERROR(_xlpm.horas/_xlpm.capacidad,"")))</f>
        <v/>
      </c>
      <c r="S53" s="34">
        <f>_xlfn.LET(_xlpm.horas,M53,_xlpm.feriados,IF($H53="CO",FER_CO,FER_EC),_xlpm.capacidad,NETWORKDAYS(M$3,M$4,_xlpm.feriados)*INDEX(Consultores!$C$6:$C$65,MATCH($A53,Consultores!$A$6:$A$65,0)),IF(_xlpm.horas=0,"",IFERROR(_xlpm.horas/_xlpm.capacidad,"")))</f>
        <v/>
      </c>
      <c r="T53" s="34">
        <f>_xlfn.LET(_xlpm.horas,N53,_xlpm.feriados,IF($H53="CO",FER_CO,FER_EC),_xlpm.capacidad,NETWORKDAYS(N$3,N$4,_xlpm.feriados)*INDEX(Consultores!$C$6:$C$65,MATCH($A53,Consultores!$A$6:$A$65,0)),IF(_xlpm.horas=0,"",IFERROR(_xlpm.horas/_xlpm.capacidad,"")))</f>
        <v/>
      </c>
      <c r="U53" s="34">
        <f>_xlfn.LET(_xlpm.horas,O53,_xlpm.feriados,IF($H53="CO",FER_CO,FER_EC),_xlpm.capacidad,NETWORKDAYS(O$3,O$4,_xlpm.feriados)*INDEX(Consultores!$C$6:$C$65,MATCH($A53,Consultores!$A$6:$A$65,0)),IF(_xlpm.horas=0,"",IFERROR(_xlpm.horas/_xlpm.capacidad,"")))</f>
        <v/>
      </c>
    </row>
    <row r="54">
      <c r="A54" s="25" t="n"/>
      <c r="B54" s="25" t="n"/>
      <c r="C54" s="25" t="n"/>
      <c r="D54" s="30" t="n"/>
      <c r="E54" s="30" t="n"/>
      <c r="F54" s="26" t="n"/>
      <c r="G54" s="25" t="n"/>
      <c r="H54" s="31">
        <f>IF($A54="","",IFERROR(INDEX(Consultores!$B$6:$B$65,MATCH($A54,Consultores!$A$6:$A$65,0)),"No existe"))</f>
        <v/>
      </c>
      <c r="I54" s="32">
        <f>IF($F54="",0,$F54/5)</f>
        <v/>
      </c>
      <c r="J54" s="33">
        <f>_xlfn.LET(_xlpm.inicio,MAX($D54,J$3),_xlpm.fin,MIN($E54,J$4),_xlpm.feriados,IF($H54="CO",FER_CO,FER_EC),_xlpm.dias,IF(_xlpm.inicio&gt;_xlpm.fin,0,NETWORKDAYS(_xlpm.inicio,_xlpm.fin,_xlpm.feriados)),_xlpm.factor,IF($G54="Probable",IF(Parametros!$B$6="Sí",1,0),1),IF(OR($A54="",$D54="",$E54=""),0,_xlpm.dias*$I54*_xlpm.factor))</f>
        <v/>
      </c>
      <c r="K54" s="33">
        <f>_xlfn.LET(_xlpm.inicio,MAX($D54,K$3),_xlpm.fin,MIN($E54,K$4),_xlpm.feriados,IF($H54="CO",FER_CO,FER_EC),_xlpm.dias,IF(_xlpm.inicio&gt;_xlpm.fin,0,NETWORKDAYS(_xlpm.inicio,_xlpm.fin,_xlpm.feriados)),_xlpm.factor,IF($G54="Probable",IF(Parametros!$B$6="Sí",1,0),1),IF(OR($A54="",$D54="",$E54=""),0,_xlpm.dias*$I54*_xlpm.factor))</f>
        <v/>
      </c>
      <c r="L54" s="33">
        <f>_xlfn.LET(_xlpm.inicio,MAX($D54,L$3),_xlpm.fin,MIN($E54,L$4),_xlpm.feriados,IF($H54="CO",FER_CO,FER_EC),_xlpm.dias,IF(_xlpm.inicio&gt;_xlpm.fin,0,NETWORKDAYS(_xlpm.inicio,_xlpm.fin,_xlpm.feriados)),_xlpm.factor,IF($G54="Probable",IF(Parametros!$B$6="Sí",1,0),1),IF(OR($A54="",$D54="",$E54=""),0,_xlpm.dias*$I54*_xlpm.factor))</f>
        <v/>
      </c>
      <c r="M54" s="33">
        <f>_xlfn.LET(_xlpm.inicio,MAX($D54,M$3),_xlpm.fin,MIN($E54,M$4),_xlpm.feriados,IF($H54="CO",FER_CO,FER_EC),_xlpm.dias,IF(_xlpm.inicio&gt;_xlpm.fin,0,NETWORKDAYS(_xlpm.inicio,_xlpm.fin,_xlpm.feriados)),_xlpm.factor,IF($G54="Probable",IF(Parametros!$B$6="Sí",1,0),1),IF(OR($A54="",$D54="",$E54=""),0,_xlpm.dias*$I54*_xlpm.factor))</f>
        <v/>
      </c>
      <c r="N54" s="33">
        <f>_xlfn.LET(_xlpm.inicio,MAX($D54,N$3),_xlpm.fin,MIN($E54,N$4),_xlpm.feriados,IF($H54="CO",FER_CO,FER_EC),_xlpm.dias,IF(_xlpm.inicio&gt;_xlpm.fin,0,NETWORKDAYS(_xlpm.inicio,_xlpm.fin,_xlpm.feriados)),_xlpm.factor,IF($G54="Probable",IF(Parametros!$B$6="Sí",1,0),1),IF(OR($A54="",$D54="",$E54=""),0,_xlpm.dias*$I54*_xlpm.factor))</f>
        <v/>
      </c>
      <c r="O54" s="33">
        <f>_xlfn.LET(_xlpm.inicio,MAX($D54,O$3),_xlpm.fin,MIN($E54,O$4),_xlpm.feriados,IF($H54="CO",FER_CO,FER_EC),_xlpm.dias,IF(_xlpm.inicio&gt;_xlpm.fin,0,NETWORKDAYS(_xlpm.inicio,_xlpm.fin,_xlpm.feriados)),_xlpm.factor,IF($G54="Probable",IF(Parametros!$B$6="Sí",1,0),1),IF(OR($A54="",$D54="",$E54=""),0,_xlpm.dias*$I54*_xlpm.factor))</f>
        <v/>
      </c>
      <c r="P54" s="34">
        <f>_xlfn.LET(_xlpm.horas,J54,_xlpm.feriados,IF($H54="CO",FER_CO,FER_EC),_xlpm.capacidad,NETWORKDAYS(J$3,J$4,_xlpm.feriados)*INDEX(Consultores!$C$6:$C$65,MATCH($A54,Consultores!$A$6:$A$65,0)),IF(_xlpm.horas=0,"",IFERROR(_xlpm.horas/_xlpm.capacidad,"")))</f>
        <v/>
      </c>
      <c r="Q54" s="34">
        <f>_xlfn.LET(_xlpm.horas,K54,_xlpm.feriados,IF($H54="CO",FER_CO,FER_EC),_xlpm.capacidad,NETWORKDAYS(K$3,K$4,_xlpm.feriados)*INDEX(Consultores!$C$6:$C$65,MATCH($A54,Consultores!$A$6:$A$65,0)),IF(_xlpm.horas=0,"",IFERROR(_xlpm.horas/_xlpm.capacidad,"")))</f>
        <v/>
      </c>
      <c r="R54" s="34">
        <f>_xlfn.LET(_xlpm.horas,L54,_xlpm.feriados,IF($H54="CO",FER_CO,FER_EC),_xlpm.capacidad,NETWORKDAYS(L$3,L$4,_xlpm.feriados)*INDEX(Consultores!$C$6:$C$65,MATCH($A54,Consultores!$A$6:$A$65,0)),IF(_xlpm.horas=0,"",IFERROR(_xlpm.horas/_xlpm.capacidad,"")))</f>
        <v/>
      </c>
      <c r="S54" s="34">
        <f>_xlfn.LET(_xlpm.horas,M54,_xlpm.feriados,IF($H54="CO",FER_CO,FER_EC),_xlpm.capacidad,NETWORKDAYS(M$3,M$4,_xlpm.feriados)*INDEX(Consultores!$C$6:$C$65,MATCH($A54,Consultores!$A$6:$A$65,0)),IF(_xlpm.horas=0,"",IFERROR(_xlpm.horas/_xlpm.capacidad,"")))</f>
        <v/>
      </c>
      <c r="T54" s="34">
        <f>_xlfn.LET(_xlpm.horas,N54,_xlpm.feriados,IF($H54="CO",FER_CO,FER_EC),_xlpm.capacidad,NETWORKDAYS(N$3,N$4,_xlpm.feriados)*INDEX(Consultores!$C$6:$C$65,MATCH($A54,Consultores!$A$6:$A$65,0)),IF(_xlpm.horas=0,"",IFERROR(_xlpm.horas/_xlpm.capacidad,"")))</f>
        <v/>
      </c>
      <c r="U54" s="34">
        <f>_xlfn.LET(_xlpm.horas,O54,_xlpm.feriados,IF($H54="CO",FER_CO,FER_EC),_xlpm.capacidad,NETWORKDAYS(O$3,O$4,_xlpm.feriados)*INDEX(Consultores!$C$6:$C$65,MATCH($A54,Consultores!$A$6:$A$65,0)),IF(_xlpm.horas=0,"",IFERROR(_xlpm.horas/_xlpm.capacidad,"")))</f>
        <v/>
      </c>
    </row>
    <row r="55">
      <c r="A55" s="25" t="n"/>
      <c r="B55" s="25" t="n"/>
      <c r="C55" s="25" t="n"/>
      <c r="D55" s="30" t="n"/>
      <c r="E55" s="30" t="n"/>
      <c r="F55" s="26" t="n"/>
      <c r="G55" s="25" t="n"/>
      <c r="H55" s="31">
        <f>IF($A55="","",IFERROR(INDEX(Consultores!$B$6:$B$65,MATCH($A55,Consultores!$A$6:$A$65,0)),"No existe"))</f>
        <v/>
      </c>
      <c r="I55" s="32">
        <f>IF($F55="",0,$F55/5)</f>
        <v/>
      </c>
      <c r="J55" s="33">
        <f>_xlfn.LET(_xlpm.inicio,MAX($D55,J$3),_xlpm.fin,MIN($E55,J$4),_xlpm.feriados,IF($H55="CO",FER_CO,FER_EC),_xlpm.dias,IF(_xlpm.inicio&gt;_xlpm.fin,0,NETWORKDAYS(_xlpm.inicio,_xlpm.fin,_xlpm.feriados)),_xlpm.factor,IF($G55="Probable",IF(Parametros!$B$6="Sí",1,0),1),IF(OR($A55="",$D55="",$E55=""),0,_xlpm.dias*$I55*_xlpm.factor))</f>
        <v/>
      </c>
      <c r="K55" s="33">
        <f>_xlfn.LET(_xlpm.inicio,MAX($D55,K$3),_xlpm.fin,MIN($E55,K$4),_xlpm.feriados,IF($H55="CO",FER_CO,FER_EC),_xlpm.dias,IF(_xlpm.inicio&gt;_xlpm.fin,0,NETWORKDAYS(_xlpm.inicio,_xlpm.fin,_xlpm.feriados)),_xlpm.factor,IF($G55="Probable",IF(Parametros!$B$6="Sí",1,0),1),IF(OR($A55="",$D55="",$E55=""),0,_xlpm.dias*$I55*_xlpm.factor))</f>
        <v/>
      </c>
      <c r="L55" s="33">
        <f>_xlfn.LET(_xlpm.inicio,MAX($D55,L$3),_xlpm.fin,MIN($E55,L$4),_xlpm.feriados,IF($H55="CO",FER_CO,FER_EC),_xlpm.dias,IF(_xlpm.inicio&gt;_xlpm.fin,0,NETWORKDAYS(_xlpm.inicio,_xlpm.fin,_xlpm.feriados)),_xlpm.factor,IF($G55="Probable",IF(Parametros!$B$6="Sí",1,0),1),IF(OR($A55="",$D55="",$E55=""),0,_xlpm.dias*$I55*_xlpm.factor))</f>
        <v/>
      </c>
      <c r="M55" s="33">
        <f>_xlfn.LET(_xlpm.inicio,MAX($D55,M$3),_xlpm.fin,MIN($E55,M$4),_xlpm.feriados,IF($H55="CO",FER_CO,FER_EC),_xlpm.dias,IF(_xlpm.inicio&gt;_xlpm.fin,0,NETWORKDAYS(_xlpm.inicio,_xlpm.fin,_xlpm.feriados)),_xlpm.factor,IF($G55="Probable",IF(Parametros!$B$6="Sí",1,0),1),IF(OR($A55="",$D55="",$E55=""),0,_xlpm.dias*$I55*_xlpm.factor))</f>
        <v/>
      </c>
      <c r="N55" s="33">
        <f>_xlfn.LET(_xlpm.inicio,MAX($D55,N$3),_xlpm.fin,MIN($E55,N$4),_xlpm.feriados,IF($H55="CO",FER_CO,FER_EC),_xlpm.dias,IF(_xlpm.inicio&gt;_xlpm.fin,0,NETWORKDAYS(_xlpm.inicio,_xlpm.fin,_xlpm.feriados)),_xlpm.factor,IF($G55="Probable",IF(Parametros!$B$6="Sí",1,0),1),IF(OR($A55="",$D55="",$E55=""),0,_xlpm.dias*$I55*_xlpm.factor))</f>
        <v/>
      </c>
      <c r="O55" s="33">
        <f>_xlfn.LET(_xlpm.inicio,MAX($D55,O$3),_xlpm.fin,MIN($E55,O$4),_xlpm.feriados,IF($H55="CO",FER_CO,FER_EC),_xlpm.dias,IF(_xlpm.inicio&gt;_xlpm.fin,0,NETWORKDAYS(_xlpm.inicio,_xlpm.fin,_xlpm.feriados)),_xlpm.factor,IF($G55="Probable",IF(Parametros!$B$6="Sí",1,0),1),IF(OR($A55="",$D55="",$E55=""),0,_xlpm.dias*$I55*_xlpm.factor))</f>
        <v/>
      </c>
      <c r="P55" s="34">
        <f>_xlfn.LET(_xlpm.horas,J55,_xlpm.feriados,IF($H55="CO",FER_CO,FER_EC),_xlpm.capacidad,NETWORKDAYS(J$3,J$4,_xlpm.feriados)*INDEX(Consultores!$C$6:$C$65,MATCH($A55,Consultores!$A$6:$A$65,0)),IF(_xlpm.horas=0,"",IFERROR(_xlpm.horas/_xlpm.capacidad,"")))</f>
        <v/>
      </c>
      <c r="Q55" s="34">
        <f>_xlfn.LET(_xlpm.horas,K55,_xlpm.feriados,IF($H55="CO",FER_CO,FER_EC),_xlpm.capacidad,NETWORKDAYS(K$3,K$4,_xlpm.feriados)*INDEX(Consultores!$C$6:$C$65,MATCH($A55,Consultores!$A$6:$A$65,0)),IF(_xlpm.horas=0,"",IFERROR(_xlpm.horas/_xlpm.capacidad,"")))</f>
        <v/>
      </c>
      <c r="R55" s="34">
        <f>_xlfn.LET(_xlpm.horas,L55,_xlpm.feriados,IF($H55="CO",FER_CO,FER_EC),_xlpm.capacidad,NETWORKDAYS(L$3,L$4,_xlpm.feriados)*INDEX(Consultores!$C$6:$C$65,MATCH($A55,Consultores!$A$6:$A$65,0)),IF(_xlpm.horas=0,"",IFERROR(_xlpm.horas/_xlpm.capacidad,"")))</f>
        <v/>
      </c>
      <c r="S55" s="34">
        <f>_xlfn.LET(_xlpm.horas,M55,_xlpm.feriados,IF($H55="CO",FER_CO,FER_EC),_xlpm.capacidad,NETWORKDAYS(M$3,M$4,_xlpm.feriados)*INDEX(Consultores!$C$6:$C$65,MATCH($A55,Consultores!$A$6:$A$65,0)),IF(_xlpm.horas=0,"",IFERROR(_xlpm.horas/_xlpm.capacidad,"")))</f>
        <v/>
      </c>
      <c r="T55" s="34">
        <f>_xlfn.LET(_xlpm.horas,N55,_xlpm.feriados,IF($H55="CO",FER_CO,FER_EC),_xlpm.capacidad,NETWORKDAYS(N$3,N$4,_xlpm.feriados)*INDEX(Consultores!$C$6:$C$65,MATCH($A55,Consultores!$A$6:$A$65,0)),IF(_xlpm.horas=0,"",IFERROR(_xlpm.horas/_xlpm.capacidad,"")))</f>
        <v/>
      </c>
      <c r="U55" s="34">
        <f>_xlfn.LET(_xlpm.horas,O55,_xlpm.feriados,IF($H55="CO",FER_CO,FER_EC),_xlpm.capacidad,NETWORKDAYS(O$3,O$4,_xlpm.feriados)*INDEX(Consultores!$C$6:$C$65,MATCH($A55,Consultores!$A$6:$A$65,0)),IF(_xlpm.horas=0,"",IFERROR(_xlpm.horas/_xlpm.capacidad,"")))</f>
        <v/>
      </c>
    </row>
    <row r="56">
      <c r="A56" s="25" t="n"/>
      <c r="B56" s="25" t="n"/>
      <c r="C56" s="25" t="n"/>
      <c r="D56" s="30" t="n"/>
      <c r="E56" s="30" t="n"/>
      <c r="F56" s="26" t="n"/>
      <c r="G56" s="25" t="n"/>
      <c r="H56" s="31">
        <f>IF($A56="","",IFERROR(INDEX(Consultores!$B$6:$B$65,MATCH($A56,Consultores!$A$6:$A$65,0)),"No existe"))</f>
        <v/>
      </c>
      <c r="I56" s="32">
        <f>IF($F56="",0,$F56/5)</f>
        <v/>
      </c>
      <c r="J56" s="33">
        <f>_xlfn.LET(_xlpm.inicio,MAX($D56,J$3),_xlpm.fin,MIN($E56,J$4),_xlpm.feriados,IF($H56="CO",FER_CO,FER_EC),_xlpm.dias,IF(_xlpm.inicio&gt;_xlpm.fin,0,NETWORKDAYS(_xlpm.inicio,_xlpm.fin,_xlpm.feriados)),_xlpm.factor,IF($G56="Probable",IF(Parametros!$B$6="Sí",1,0),1),IF(OR($A56="",$D56="",$E56=""),0,_xlpm.dias*$I56*_xlpm.factor))</f>
        <v/>
      </c>
      <c r="K56" s="33">
        <f>_xlfn.LET(_xlpm.inicio,MAX($D56,K$3),_xlpm.fin,MIN($E56,K$4),_xlpm.feriados,IF($H56="CO",FER_CO,FER_EC),_xlpm.dias,IF(_xlpm.inicio&gt;_xlpm.fin,0,NETWORKDAYS(_xlpm.inicio,_xlpm.fin,_xlpm.feriados)),_xlpm.factor,IF($G56="Probable",IF(Parametros!$B$6="Sí",1,0),1),IF(OR($A56="",$D56="",$E56=""),0,_xlpm.dias*$I56*_xlpm.factor))</f>
        <v/>
      </c>
      <c r="L56" s="33">
        <f>_xlfn.LET(_xlpm.inicio,MAX($D56,L$3),_xlpm.fin,MIN($E56,L$4),_xlpm.feriados,IF($H56="CO",FER_CO,FER_EC),_xlpm.dias,IF(_xlpm.inicio&gt;_xlpm.fin,0,NETWORKDAYS(_xlpm.inicio,_xlpm.fin,_xlpm.feriados)),_xlpm.factor,IF($G56="Probable",IF(Parametros!$B$6="Sí",1,0),1),IF(OR($A56="",$D56="",$E56=""),0,_xlpm.dias*$I56*_xlpm.factor))</f>
        <v/>
      </c>
      <c r="M56" s="33">
        <f>_xlfn.LET(_xlpm.inicio,MAX($D56,M$3),_xlpm.fin,MIN($E56,M$4),_xlpm.feriados,IF($H56="CO",FER_CO,FER_EC),_xlpm.dias,IF(_xlpm.inicio&gt;_xlpm.fin,0,NETWORKDAYS(_xlpm.inicio,_xlpm.fin,_xlpm.feriados)),_xlpm.factor,IF($G56="Probable",IF(Parametros!$B$6="Sí",1,0),1),IF(OR($A56="",$D56="",$E56=""),0,_xlpm.dias*$I56*_xlpm.factor))</f>
        <v/>
      </c>
      <c r="N56" s="33">
        <f>_xlfn.LET(_xlpm.inicio,MAX($D56,N$3),_xlpm.fin,MIN($E56,N$4),_xlpm.feriados,IF($H56="CO",FER_CO,FER_EC),_xlpm.dias,IF(_xlpm.inicio&gt;_xlpm.fin,0,NETWORKDAYS(_xlpm.inicio,_xlpm.fin,_xlpm.feriados)),_xlpm.factor,IF($G56="Probable",IF(Parametros!$B$6="Sí",1,0),1),IF(OR($A56="",$D56="",$E56=""),0,_xlpm.dias*$I56*_xlpm.factor))</f>
        <v/>
      </c>
      <c r="O56" s="33">
        <f>_xlfn.LET(_xlpm.inicio,MAX($D56,O$3),_xlpm.fin,MIN($E56,O$4),_xlpm.feriados,IF($H56="CO",FER_CO,FER_EC),_xlpm.dias,IF(_xlpm.inicio&gt;_xlpm.fin,0,NETWORKDAYS(_xlpm.inicio,_xlpm.fin,_xlpm.feriados)),_xlpm.factor,IF($G56="Probable",IF(Parametros!$B$6="Sí",1,0),1),IF(OR($A56="",$D56="",$E56=""),0,_xlpm.dias*$I56*_xlpm.factor))</f>
        <v/>
      </c>
      <c r="P56" s="34">
        <f>_xlfn.LET(_xlpm.horas,J56,_xlpm.feriados,IF($H56="CO",FER_CO,FER_EC),_xlpm.capacidad,NETWORKDAYS(J$3,J$4,_xlpm.feriados)*INDEX(Consultores!$C$6:$C$65,MATCH($A56,Consultores!$A$6:$A$65,0)),IF(_xlpm.horas=0,"",IFERROR(_xlpm.horas/_xlpm.capacidad,"")))</f>
        <v/>
      </c>
      <c r="Q56" s="34">
        <f>_xlfn.LET(_xlpm.horas,K56,_xlpm.feriados,IF($H56="CO",FER_CO,FER_EC),_xlpm.capacidad,NETWORKDAYS(K$3,K$4,_xlpm.feriados)*INDEX(Consultores!$C$6:$C$65,MATCH($A56,Consultores!$A$6:$A$65,0)),IF(_xlpm.horas=0,"",IFERROR(_xlpm.horas/_xlpm.capacidad,"")))</f>
        <v/>
      </c>
      <c r="R56" s="34">
        <f>_xlfn.LET(_xlpm.horas,L56,_xlpm.feriados,IF($H56="CO",FER_CO,FER_EC),_xlpm.capacidad,NETWORKDAYS(L$3,L$4,_xlpm.feriados)*INDEX(Consultores!$C$6:$C$65,MATCH($A56,Consultores!$A$6:$A$65,0)),IF(_xlpm.horas=0,"",IFERROR(_xlpm.horas/_xlpm.capacidad,"")))</f>
        <v/>
      </c>
      <c r="S56" s="34">
        <f>_xlfn.LET(_xlpm.horas,M56,_xlpm.feriados,IF($H56="CO",FER_CO,FER_EC),_xlpm.capacidad,NETWORKDAYS(M$3,M$4,_xlpm.feriados)*INDEX(Consultores!$C$6:$C$65,MATCH($A56,Consultores!$A$6:$A$65,0)),IF(_xlpm.horas=0,"",IFERROR(_xlpm.horas/_xlpm.capacidad,"")))</f>
        <v/>
      </c>
      <c r="T56" s="34">
        <f>_xlfn.LET(_xlpm.horas,N56,_xlpm.feriados,IF($H56="CO",FER_CO,FER_EC),_xlpm.capacidad,NETWORKDAYS(N$3,N$4,_xlpm.feriados)*INDEX(Consultores!$C$6:$C$65,MATCH($A56,Consultores!$A$6:$A$65,0)),IF(_xlpm.horas=0,"",IFERROR(_xlpm.horas/_xlpm.capacidad,"")))</f>
        <v/>
      </c>
      <c r="U56" s="34">
        <f>_xlfn.LET(_xlpm.horas,O56,_xlpm.feriados,IF($H56="CO",FER_CO,FER_EC),_xlpm.capacidad,NETWORKDAYS(O$3,O$4,_xlpm.feriados)*INDEX(Consultores!$C$6:$C$65,MATCH($A56,Consultores!$A$6:$A$65,0)),IF(_xlpm.horas=0,"",IFERROR(_xlpm.horas/_xlpm.capacidad,"")))</f>
        <v/>
      </c>
    </row>
    <row r="57">
      <c r="A57" s="25" t="n"/>
      <c r="B57" s="25" t="n"/>
      <c r="C57" s="25" t="n"/>
      <c r="D57" s="30" t="n"/>
      <c r="E57" s="30" t="n"/>
      <c r="F57" s="26" t="n"/>
      <c r="G57" s="25" t="n"/>
      <c r="H57" s="31">
        <f>IF($A57="","",IFERROR(INDEX(Consultores!$B$6:$B$65,MATCH($A57,Consultores!$A$6:$A$65,0)),"No existe"))</f>
        <v/>
      </c>
      <c r="I57" s="32">
        <f>IF($F57="",0,$F57/5)</f>
        <v/>
      </c>
      <c r="J57" s="33">
        <f>_xlfn.LET(_xlpm.inicio,MAX($D57,J$3),_xlpm.fin,MIN($E57,J$4),_xlpm.feriados,IF($H57="CO",FER_CO,FER_EC),_xlpm.dias,IF(_xlpm.inicio&gt;_xlpm.fin,0,NETWORKDAYS(_xlpm.inicio,_xlpm.fin,_xlpm.feriados)),_xlpm.factor,IF($G57="Probable",IF(Parametros!$B$6="Sí",1,0),1),IF(OR($A57="",$D57="",$E57=""),0,_xlpm.dias*$I57*_xlpm.factor))</f>
        <v/>
      </c>
      <c r="K57" s="33">
        <f>_xlfn.LET(_xlpm.inicio,MAX($D57,K$3),_xlpm.fin,MIN($E57,K$4),_xlpm.feriados,IF($H57="CO",FER_CO,FER_EC),_xlpm.dias,IF(_xlpm.inicio&gt;_xlpm.fin,0,NETWORKDAYS(_xlpm.inicio,_xlpm.fin,_xlpm.feriados)),_xlpm.factor,IF($G57="Probable",IF(Parametros!$B$6="Sí",1,0),1),IF(OR($A57="",$D57="",$E57=""),0,_xlpm.dias*$I57*_xlpm.factor))</f>
        <v/>
      </c>
      <c r="L57" s="33">
        <f>_xlfn.LET(_xlpm.inicio,MAX($D57,L$3),_xlpm.fin,MIN($E57,L$4),_xlpm.feriados,IF($H57="CO",FER_CO,FER_EC),_xlpm.dias,IF(_xlpm.inicio&gt;_xlpm.fin,0,NETWORKDAYS(_xlpm.inicio,_xlpm.fin,_xlpm.feriados)),_xlpm.factor,IF($G57="Probable",IF(Parametros!$B$6="Sí",1,0),1),IF(OR($A57="",$D57="",$E57=""),0,_xlpm.dias*$I57*_xlpm.factor))</f>
        <v/>
      </c>
      <c r="M57" s="33">
        <f>_xlfn.LET(_xlpm.inicio,MAX($D57,M$3),_xlpm.fin,MIN($E57,M$4),_xlpm.feriados,IF($H57="CO",FER_CO,FER_EC),_xlpm.dias,IF(_xlpm.inicio&gt;_xlpm.fin,0,NETWORKDAYS(_xlpm.inicio,_xlpm.fin,_xlpm.feriados)),_xlpm.factor,IF($G57="Probable",IF(Parametros!$B$6="Sí",1,0),1),IF(OR($A57="",$D57="",$E57=""),0,_xlpm.dias*$I57*_xlpm.factor))</f>
        <v/>
      </c>
      <c r="N57" s="33">
        <f>_xlfn.LET(_xlpm.inicio,MAX($D57,N$3),_xlpm.fin,MIN($E57,N$4),_xlpm.feriados,IF($H57="CO",FER_CO,FER_EC),_xlpm.dias,IF(_xlpm.inicio&gt;_xlpm.fin,0,NETWORKDAYS(_xlpm.inicio,_xlpm.fin,_xlpm.feriados)),_xlpm.factor,IF($G57="Probable",IF(Parametros!$B$6="Sí",1,0),1),IF(OR($A57="",$D57="",$E57=""),0,_xlpm.dias*$I57*_xlpm.factor))</f>
        <v/>
      </c>
      <c r="O57" s="33">
        <f>_xlfn.LET(_xlpm.inicio,MAX($D57,O$3),_xlpm.fin,MIN($E57,O$4),_xlpm.feriados,IF($H57="CO",FER_CO,FER_EC),_xlpm.dias,IF(_xlpm.inicio&gt;_xlpm.fin,0,NETWORKDAYS(_xlpm.inicio,_xlpm.fin,_xlpm.feriados)),_xlpm.factor,IF($G57="Probable",IF(Parametros!$B$6="Sí",1,0),1),IF(OR($A57="",$D57="",$E57=""),0,_xlpm.dias*$I57*_xlpm.factor))</f>
        <v/>
      </c>
      <c r="P57" s="34">
        <f>_xlfn.LET(_xlpm.horas,J57,_xlpm.feriados,IF($H57="CO",FER_CO,FER_EC),_xlpm.capacidad,NETWORKDAYS(J$3,J$4,_xlpm.feriados)*INDEX(Consultores!$C$6:$C$65,MATCH($A57,Consultores!$A$6:$A$65,0)),IF(_xlpm.horas=0,"",IFERROR(_xlpm.horas/_xlpm.capacidad,"")))</f>
        <v/>
      </c>
      <c r="Q57" s="34">
        <f>_xlfn.LET(_xlpm.horas,K57,_xlpm.feriados,IF($H57="CO",FER_CO,FER_EC),_xlpm.capacidad,NETWORKDAYS(K$3,K$4,_xlpm.feriados)*INDEX(Consultores!$C$6:$C$65,MATCH($A57,Consultores!$A$6:$A$65,0)),IF(_xlpm.horas=0,"",IFERROR(_xlpm.horas/_xlpm.capacidad,"")))</f>
        <v/>
      </c>
      <c r="R57" s="34">
        <f>_xlfn.LET(_xlpm.horas,L57,_xlpm.feriados,IF($H57="CO",FER_CO,FER_EC),_xlpm.capacidad,NETWORKDAYS(L$3,L$4,_xlpm.feriados)*INDEX(Consultores!$C$6:$C$65,MATCH($A57,Consultores!$A$6:$A$65,0)),IF(_xlpm.horas=0,"",IFERROR(_xlpm.horas/_xlpm.capacidad,"")))</f>
        <v/>
      </c>
      <c r="S57" s="34">
        <f>_xlfn.LET(_xlpm.horas,M57,_xlpm.feriados,IF($H57="CO",FER_CO,FER_EC),_xlpm.capacidad,NETWORKDAYS(M$3,M$4,_xlpm.feriados)*INDEX(Consultores!$C$6:$C$65,MATCH($A57,Consultores!$A$6:$A$65,0)),IF(_xlpm.horas=0,"",IFERROR(_xlpm.horas/_xlpm.capacidad,"")))</f>
        <v/>
      </c>
      <c r="T57" s="34">
        <f>_xlfn.LET(_xlpm.horas,N57,_xlpm.feriados,IF($H57="CO",FER_CO,FER_EC),_xlpm.capacidad,NETWORKDAYS(N$3,N$4,_xlpm.feriados)*INDEX(Consultores!$C$6:$C$65,MATCH($A57,Consultores!$A$6:$A$65,0)),IF(_xlpm.horas=0,"",IFERROR(_xlpm.horas/_xlpm.capacidad,"")))</f>
        <v/>
      </c>
      <c r="U57" s="34">
        <f>_xlfn.LET(_xlpm.horas,O57,_xlpm.feriados,IF($H57="CO",FER_CO,FER_EC),_xlpm.capacidad,NETWORKDAYS(O$3,O$4,_xlpm.feriados)*INDEX(Consultores!$C$6:$C$65,MATCH($A57,Consultores!$A$6:$A$65,0)),IF(_xlpm.horas=0,"",IFERROR(_xlpm.horas/_xlpm.capacidad,"")))</f>
        <v/>
      </c>
    </row>
    <row r="58">
      <c r="A58" s="25" t="n"/>
      <c r="B58" s="25" t="n"/>
      <c r="C58" s="25" t="n"/>
      <c r="D58" s="30" t="n"/>
      <c r="E58" s="30" t="n"/>
      <c r="F58" s="26" t="n"/>
      <c r="G58" s="25" t="n"/>
      <c r="H58" s="31">
        <f>IF($A58="","",IFERROR(INDEX(Consultores!$B$6:$B$65,MATCH($A58,Consultores!$A$6:$A$65,0)),"No existe"))</f>
        <v/>
      </c>
      <c r="I58" s="32">
        <f>IF($F58="",0,$F58/5)</f>
        <v/>
      </c>
      <c r="J58" s="33">
        <f>_xlfn.LET(_xlpm.inicio,MAX($D58,J$3),_xlpm.fin,MIN($E58,J$4),_xlpm.feriados,IF($H58="CO",FER_CO,FER_EC),_xlpm.dias,IF(_xlpm.inicio&gt;_xlpm.fin,0,NETWORKDAYS(_xlpm.inicio,_xlpm.fin,_xlpm.feriados)),_xlpm.factor,IF($G58="Probable",IF(Parametros!$B$6="Sí",1,0),1),IF(OR($A58="",$D58="",$E58=""),0,_xlpm.dias*$I58*_xlpm.factor))</f>
        <v/>
      </c>
      <c r="K58" s="33">
        <f>_xlfn.LET(_xlpm.inicio,MAX($D58,K$3),_xlpm.fin,MIN($E58,K$4),_xlpm.feriados,IF($H58="CO",FER_CO,FER_EC),_xlpm.dias,IF(_xlpm.inicio&gt;_xlpm.fin,0,NETWORKDAYS(_xlpm.inicio,_xlpm.fin,_xlpm.feriados)),_xlpm.factor,IF($G58="Probable",IF(Parametros!$B$6="Sí",1,0),1),IF(OR($A58="",$D58="",$E58=""),0,_xlpm.dias*$I58*_xlpm.factor))</f>
        <v/>
      </c>
      <c r="L58" s="33">
        <f>_xlfn.LET(_xlpm.inicio,MAX($D58,L$3),_xlpm.fin,MIN($E58,L$4),_xlpm.feriados,IF($H58="CO",FER_CO,FER_EC),_xlpm.dias,IF(_xlpm.inicio&gt;_xlpm.fin,0,NETWORKDAYS(_xlpm.inicio,_xlpm.fin,_xlpm.feriados)),_xlpm.factor,IF($G58="Probable",IF(Parametros!$B$6="Sí",1,0),1),IF(OR($A58="",$D58="",$E58=""),0,_xlpm.dias*$I58*_xlpm.factor))</f>
        <v/>
      </c>
      <c r="M58" s="33">
        <f>_xlfn.LET(_xlpm.inicio,MAX($D58,M$3),_xlpm.fin,MIN($E58,M$4),_xlpm.feriados,IF($H58="CO",FER_CO,FER_EC),_xlpm.dias,IF(_xlpm.inicio&gt;_xlpm.fin,0,NETWORKDAYS(_xlpm.inicio,_xlpm.fin,_xlpm.feriados)),_xlpm.factor,IF($G58="Probable",IF(Parametros!$B$6="Sí",1,0),1),IF(OR($A58="",$D58="",$E58=""),0,_xlpm.dias*$I58*_xlpm.factor))</f>
        <v/>
      </c>
      <c r="N58" s="33">
        <f>_xlfn.LET(_xlpm.inicio,MAX($D58,N$3),_xlpm.fin,MIN($E58,N$4),_xlpm.feriados,IF($H58="CO",FER_CO,FER_EC),_xlpm.dias,IF(_xlpm.inicio&gt;_xlpm.fin,0,NETWORKDAYS(_xlpm.inicio,_xlpm.fin,_xlpm.feriados)),_xlpm.factor,IF($G58="Probable",IF(Parametros!$B$6="Sí",1,0),1),IF(OR($A58="",$D58="",$E58=""),0,_xlpm.dias*$I58*_xlpm.factor))</f>
        <v/>
      </c>
      <c r="O58" s="33">
        <f>_xlfn.LET(_xlpm.inicio,MAX($D58,O$3),_xlpm.fin,MIN($E58,O$4),_xlpm.feriados,IF($H58="CO",FER_CO,FER_EC),_xlpm.dias,IF(_xlpm.inicio&gt;_xlpm.fin,0,NETWORKDAYS(_xlpm.inicio,_xlpm.fin,_xlpm.feriados)),_xlpm.factor,IF($G58="Probable",IF(Parametros!$B$6="Sí",1,0),1),IF(OR($A58="",$D58="",$E58=""),0,_xlpm.dias*$I58*_xlpm.factor))</f>
        <v/>
      </c>
      <c r="P58" s="34">
        <f>_xlfn.LET(_xlpm.horas,J58,_xlpm.feriados,IF($H58="CO",FER_CO,FER_EC),_xlpm.capacidad,NETWORKDAYS(J$3,J$4,_xlpm.feriados)*INDEX(Consultores!$C$6:$C$65,MATCH($A58,Consultores!$A$6:$A$65,0)),IF(_xlpm.horas=0,"",IFERROR(_xlpm.horas/_xlpm.capacidad,"")))</f>
        <v/>
      </c>
      <c r="Q58" s="34">
        <f>_xlfn.LET(_xlpm.horas,K58,_xlpm.feriados,IF($H58="CO",FER_CO,FER_EC),_xlpm.capacidad,NETWORKDAYS(K$3,K$4,_xlpm.feriados)*INDEX(Consultores!$C$6:$C$65,MATCH($A58,Consultores!$A$6:$A$65,0)),IF(_xlpm.horas=0,"",IFERROR(_xlpm.horas/_xlpm.capacidad,"")))</f>
        <v/>
      </c>
      <c r="R58" s="34">
        <f>_xlfn.LET(_xlpm.horas,L58,_xlpm.feriados,IF($H58="CO",FER_CO,FER_EC),_xlpm.capacidad,NETWORKDAYS(L$3,L$4,_xlpm.feriados)*INDEX(Consultores!$C$6:$C$65,MATCH($A58,Consultores!$A$6:$A$65,0)),IF(_xlpm.horas=0,"",IFERROR(_xlpm.horas/_xlpm.capacidad,"")))</f>
        <v/>
      </c>
      <c r="S58" s="34">
        <f>_xlfn.LET(_xlpm.horas,M58,_xlpm.feriados,IF($H58="CO",FER_CO,FER_EC),_xlpm.capacidad,NETWORKDAYS(M$3,M$4,_xlpm.feriados)*INDEX(Consultores!$C$6:$C$65,MATCH($A58,Consultores!$A$6:$A$65,0)),IF(_xlpm.horas=0,"",IFERROR(_xlpm.horas/_xlpm.capacidad,"")))</f>
        <v/>
      </c>
      <c r="T58" s="34">
        <f>_xlfn.LET(_xlpm.horas,N58,_xlpm.feriados,IF($H58="CO",FER_CO,FER_EC),_xlpm.capacidad,NETWORKDAYS(N$3,N$4,_xlpm.feriados)*INDEX(Consultores!$C$6:$C$65,MATCH($A58,Consultores!$A$6:$A$65,0)),IF(_xlpm.horas=0,"",IFERROR(_xlpm.horas/_xlpm.capacidad,"")))</f>
        <v/>
      </c>
      <c r="U58" s="34">
        <f>_xlfn.LET(_xlpm.horas,O58,_xlpm.feriados,IF($H58="CO",FER_CO,FER_EC),_xlpm.capacidad,NETWORKDAYS(O$3,O$4,_xlpm.feriados)*INDEX(Consultores!$C$6:$C$65,MATCH($A58,Consultores!$A$6:$A$65,0)),IF(_xlpm.horas=0,"",IFERROR(_xlpm.horas/_xlpm.capacidad,"")))</f>
        <v/>
      </c>
    </row>
    <row r="59">
      <c r="A59" s="25" t="n"/>
      <c r="B59" s="25" t="n"/>
      <c r="C59" s="25" t="n"/>
      <c r="D59" s="30" t="n"/>
      <c r="E59" s="30" t="n"/>
      <c r="F59" s="26" t="n"/>
      <c r="G59" s="25" t="n"/>
      <c r="H59" s="31">
        <f>IF($A59="","",IFERROR(INDEX(Consultores!$B$6:$B$65,MATCH($A59,Consultores!$A$6:$A$65,0)),"No existe"))</f>
        <v/>
      </c>
      <c r="I59" s="32">
        <f>IF($F59="",0,$F59/5)</f>
        <v/>
      </c>
      <c r="J59" s="33">
        <f>_xlfn.LET(_xlpm.inicio,MAX($D59,J$3),_xlpm.fin,MIN($E59,J$4),_xlpm.feriados,IF($H59="CO",FER_CO,FER_EC),_xlpm.dias,IF(_xlpm.inicio&gt;_xlpm.fin,0,NETWORKDAYS(_xlpm.inicio,_xlpm.fin,_xlpm.feriados)),_xlpm.factor,IF($G59="Probable",IF(Parametros!$B$6="Sí",1,0),1),IF(OR($A59="",$D59="",$E59=""),0,_xlpm.dias*$I59*_xlpm.factor))</f>
        <v/>
      </c>
      <c r="K59" s="33">
        <f>_xlfn.LET(_xlpm.inicio,MAX($D59,K$3),_xlpm.fin,MIN($E59,K$4),_xlpm.feriados,IF($H59="CO",FER_CO,FER_EC),_xlpm.dias,IF(_xlpm.inicio&gt;_xlpm.fin,0,NETWORKDAYS(_xlpm.inicio,_xlpm.fin,_xlpm.feriados)),_xlpm.factor,IF($G59="Probable",IF(Parametros!$B$6="Sí",1,0),1),IF(OR($A59="",$D59="",$E59=""),0,_xlpm.dias*$I59*_xlpm.factor))</f>
        <v/>
      </c>
      <c r="L59" s="33">
        <f>_xlfn.LET(_xlpm.inicio,MAX($D59,L$3),_xlpm.fin,MIN($E59,L$4),_xlpm.feriados,IF($H59="CO",FER_CO,FER_EC),_xlpm.dias,IF(_xlpm.inicio&gt;_xlpm.fin,0,NETWORKDAYS(_xlpm.inicio,_xlpm.fin,_xlpm.feriados)),_xlpm.factor,IF($G59="Probable",IF(Parametros!$B$6="Sí",1,0),1),IF(OR($A59="",$D59="",$E59=""),0,_xlpm.dias*$I59*_xlpm.factor))</f>
        <v/>
      </c>
      <c r="M59" s="33">
        <f>_xlfn.LET(_xlpm.inicio,MAX($D59,M$3),_xlpm.fin,MIN($E59,M$4),_xlpm.feriados,IF($H59="CO",FER_CO,FER_EC),_xlpm.dias,IF(_xlpm.inicio&gt;_xlpm.fin,0,NETWORKDAYS(_xlpm.inicio,_xlpm.fin,_xlpm.feriados)),_xlpm.factor,IF($G59="Probable",IF(Parametros!$B$6="Sí",1,0),1),IF(OR($A59="",$D59="",$E59=""),0,_xlpm.dias*$I59*_xlpm.factor))</f>
        <v/>
      </c>
      <c r="N59" s="33">
        <f>_xlfn.LET(_xlpm.inicio,MAX($D59,N$3),_xlpm.fin,MIN($E59,N$4),_xlpm.feriados,IF($H59="CO",FER_CO,FER_EC),_xlpm.dias,IF(_xlpm.inicio&gt;_xlpm.fin,0,NETWORKDAYS(_xlpm.inicio,_xlpm.fin,_xlpm.feriados)),_xlpm.factor,IF($G59="Probable",IF(Parametros!$B$6="Sí",1,0),1),IF(OR($A59="",$D59="",$E59=""),0,_xlpm.dias*$I59*_xlpm.factor))</f>
        <v/>
      </c>
      <c r="O59" s="33">
        <f>_xlfn.LET(_xlpm.inicio,MAX($D59,O$3),_xlpm.fin,MIN($E59,O$4),_xlpm.feriados,IF($H59="CO",FER_CO,FER_EC),_xlpm.dias,IF(_xlpm.inicio&gt;_xlpm.fin,0,NETWORKDAYS(_xlpm.inicio,_xlpm.fin,_xlpm.feriados)),_xlpm.factor,IF($G59="Probable",IF(Parametros!$B$6="Sí",1,0),1),IF(OR($A59="",$D59="",$E59=""),0,_xlpm.dias*$I59*_xlpm.factor))</f>
        <v/>
      </c>
      <c r="P59" s="34">
        <f>_xlfn.LET(_xlpm.horas,J59,_xlpm.feriados,IF($H59="CO",FER_CO,FER_EC),_xlpm.capacidad,NETWORKDAYS(J$3,J$4,_xlpm.feriados)*INDEX(Consultores!$C$6:$C$65,MATCH($A59,Consultores!$A$6:$A$65,0)),IF(_xlpm.horas=0,"",IFERROR(_xlpm.horas/_xlpm.capacidad,"")))</f>
        <v/>
      </c>
      <c r="Q59" s="34">
        <f>_xlfn.LET(_xlpm.horas,K59,_xlpm.feriados,IF($H59="CO",FER_CO,FER_EC),_xlpm.capacidad,NETWORKDAYS(K$3,K$4,_xlpm.feriados)*INDEX(Consultores!$C$6:$C$65,MATCH($A59,Consultores!$A$6:$A$65,0)),IF(_xlpm.horas=0,"",IFERROR(_xlpm.horas/_xlpm.capacidad,"")))</f>
        <v/>
      </c>
      <c r="R59" s="34">
        <f>_xlfn.LET(_xlpm.horas,L59,_xlpm.feriados,IF($H59="CO",FER_CO,FER_EC),_xlpm.capacidad,NETWORKDAYS(L$3,L$4,_xlpm.feriados)*INDEX(Consultores!$C$6:$C$65,MATCH($A59,Consultores!$A$6:$A$65,0)),IF(_xlpm.horas=0,"",IFERROR(_xlpm.horas/_xlpm.capacidad,"")))</f>
        <v/>
      </c>
      <c r="S59" s="34">
        <f>_xlfn.LET(_xlpm.horas,M59,_xlpm.feriados,IF($H59="CO",FER_CO,FER_EC),_xlpm.capacidad,NETWORKDAYS(M$3,M$4,_xlpm.feriados)*INDEX(Consultores!$C$6:$C$65,MATCH($A59,Consultores!$A$6:$A$65,0)),IF(_xlpm.horas=0,"",IFERROR(_xlpm.horas/_xlpm.capacidad,"")))</f>
        <v/>
      </c>
      <c r="T59" s="34">
        <f>_xlfn.LET(_xlpm.horas,N59,_xlpm.feriados,IF($H59="CO",FER_CO,FER_EC),_xlpm.capacidad,NETWORKDAYS(N$3,N$4,_xlpm.feriados)*INDEX(Consultores!$C$6:$C$65,MATCH($A59,Consultores!$A$6:$A$65,0)),IF(_xlpm.horas=0,"",IFERROR(_xlpm.horas/_xlpm.capacidad,"")))</f>
        <v/>
      </c>
      <c r="U59" s="34">
        <f>_xlfn.LET(_xlpm.horas,O59,_xlpm.feriados,IF($H59="CO",FER_CO,FER_EC),_xlpm.capacidad,NETWORKDAYS(O$3,O$4,_xlpm.feriados)*INDEX(Consultores!$C$6:$C$65,MATCH($A59,Consultores!$A$6:$A$65,0)),IF(_xlpm.horas=0,"",IFERROR(_xlpm.horas/_xlpm.capacidad,"")))</f>
        <v/>
      </c>
    </row>
    <row r="60">
      <c r="A60" s="25" t="n"/>
      <c r="B60" s="25" t="n"/>
      <c r="C60" s="25" t="n"/>
      <c r="D60" s="30" t="n"/>
      <c r="E60" s="30" t="n"/>
      <c r="F60" s="26" t="n"/>
      <c r="G60" s="25" t="n"/>
      <c r="H60" s="31">
        <f>IF($A60="","",IFERROR(INDEX(Consultores!$B$6:$B$65,MATCH($A60,Consultores!$A$6:$A$65,0)),"No existe"))</f>
        <v/>
      </c>
      <c r="I60" s="32">
        <f>IF($F60="",0,$F60/5)</f>
        <v/>
      </c>
      <c r="J60" s="33">
        <f>_xlfn.LET(_xlpm.inicio,MAX($D60,J$3),_xlpm.fin,MIN($E60,J$4),_xlpm.feriados,IF($H60="CO",FER_CO,FER_EC),_xlpm.dias,IF(_xlpm.inicio&gt;_xlpm.fin,0,NETWORKDAYS(_xlpm.inicio,_xlpm.fin,_xlpm.feriados)),_xlpm.factor,IF($G60="Probable",IF(Parametros!$B$6="Sí",1,0),1),IF(OR($A60="",$D60="",$E60=""),0,_xlpm.dias*$I60*_xlpm.factor))</f>
        <v/>
      </c>
      <c r="K60" s="33">
        <f>_xlfn.LET(_xlpm.inicio,MAX($D60,K$3),_xlpm.fin,MIN($E60,K$4),_xlpm.feriados,IF($H60="CO",FER_CO,FER_EC),_xlpm.dias,IF(_xlpm.inicio&gt;_xlpm.fin,0,NETWORKDAYS(_xlpm.inicio,_xlpm.fin,_xlpm.feriados)),_xlpm.factor,IF($G60="Probable",IF(Parametros!$B$6="Sí",1,0),1),IF(OR($A60="",$D60="",$E60=""),0,_xlpm.dias*$I60*_xlpm.factor))</f>
        <v/>
      </c>
      <c r="L60" s="33">
        <f>_xlfn.LET(_xlpm.inicio,MAX($D60,L$3),_xlpm.fin,MIN($E60,L$4),_xlpm.feriados,IF($H60="CO",FER_CO,FER_EC),_xlpm.dias,IF(_xlpm.inicio&gt;_xlpm.fin,0,NETWORKDAYS(_xlpm.inicio,_xlpm.fin,_xlpm.feriados)),_xlpm.factor,IF($G60="Probable",IF(Parametros!$B$6="Sí",1,0),1),IF(OR($A60="",$D60="",$E60=""),0,_xlpm.dias*$I60*_xlpm.factor))</f>
        <v/>
      </c>
      <c r="M60" s="33">
        <f>_xlfn.LET(_xlpm.inicio,MAX($D60,M$3),_xlpm.fin,MIN($E60,M$4),_xlpm.feriados,IF($H60="CO",FER_CO,FER_EC),_xlpm.dias,IF(_xlpm.inicio&gt;_xlpm.fin,0,NETWORKDAYS(_xlpm.inicio,_xlpm.fin,_xlpm.feriados)),_xlpm.factor,IF($G60="Probable",IF(Parametros!$B$6="Sí",1,0),1),IF(OR($A60="",$D60="",$E60=""),0,_xlpm.dias*$I60*_xlpm.factor))</f>
        <v/>
      </c>
      <c r="N60" s="33">
        <f>_xlfn.LET(_xlpm.inicio,MAX($D60,N$3),_xlpm.fin,MIN($E60,N$4),_xlpm.feriados,IF($H60="CO",FER_CO,FER_EC),_xlpm.dias,IF(_xlpm.inicio&gt;_xlpm.fin,0,NETWORKDAYS(_xlpm.inicio,_xlpm.fin,_xlpm.feriados)),_xlpm.factor,IF($G60="Probable",IF(Parametros!$B$6="Sí",1,0),1),IF(OR($A60="",$D60="",$E60=""),0,_xlpm.dias*$I60*_xlpm.factor))</f>
        <v/>
      </c>
      <c r="O60" s="33">
        <f>_xlfn.LET(_xlpm.inicio,MAX($D60,O$3),_xlpm.fin,MIN($E60,O$4),_xlpm.feriados,IF($H60="CO",FER_CO,FER_EC),_xlpm.dias,IF(_xlpm.inicio&gt;_xlpm.fin,0,NETWORKDAYS(_xlpm.inicio,_xlpm.fin,_xlpm.feriados)),_xlpm.factor,IF($G60="Probable",IF(Parametros!$B$6="Sí",1,0),1),IF(OR($A60="",$D60="",$E60=""),0,_xlpm.dias*$I60*_xlpm.factor))</f>
        <v/>
      </c>
      <c r="P60" s="34">
        <f>_xlfn.LET(_xlpm.horas,J60,_xlpm.feriados,IF($H60="CO",FER_CO,FER_EC),_xlpm.capacidad,NETWORKDAYS(J$3,J$4,_xlpm.feriados)*INDEX(Consultores!$C$6:$C$65,MATCH($A60,Consultores!$A$6:$A$65,0)),IF(_xlpm.horas=0,"",IFERROR(_xlpm.horas/_xlpm.capacidad,"")))</f>
        <v/>
      </c>
      <c r="Q60" s="34">
        <f>_xlfn.LET(_xlpm.horas,K60,_xlpm.feriados,IF($H60="CO",FER_CO,FER_EC),_xlpm.capacidad,NETWORKDAYS(K$3,K$4,_xlpm.feriados)*INDEX(Consultores!$C$6:$C$65,MATCH($A60,Consultores!$A$6:$A$65,0)),IF(_xlpm.horas=0,"",IFERROR(_xlpm.horas/_xlpm.capacidad,"")))</f>
        <v/>
      </c>
      <c r="R60" s="34">
        <f>_xlfn.LET(_xlpm.horas,L60,_xlpm.feriados,IF($H60="CO",FER_CO,FER_EC),_xlpm.capacidad,NETWORKDAYS(L$3,L$4,_xlpm.feriados)*INDEX(Consultores!$C$6:$C$65,MATCH($A60,Consultores!$A$6:$A$65,0)),IF(_xlpm.horas=0,"",IFERROR(_xlpm.horas/_xlpm.capacidad,"")))</f>
        <v/>
      </c>
      <c r="S60" s="34">
        <f>_xlfn.LET(_xlpm.horas,M60,_xlpm.feriados,IF($H60="CO",FER_CO,FER_EC),_xlpm.capacidad,NETWORKDAYS(M$3,M$4,_xlpm.feriados)*INDEX(Consultores!$C$6:$C$65,MATCH($A60,Consultores!$A$6:$A$65,0)),IF(_xlpm.horas=0,"",IFERROR(_xlpm.horas/_xlpm.capacidad,"")))</f>
        <v/>
      </c>
      <c r="T60" s="34">
        <f>_xlfn.LET(_xlpm.horas,N60,_xlpm.feriados,IF($H60="CO",FER_CO,FER_EC),_xlpm.capacidad,NETWORKDAYS(N$3,N$4,_xlpm.feriados)*INDEX(Consultores!$C$6:$C$65,MATCH($A60,Consultores!$A$6:$A$65,0)),IF(_xlpm.horas=0,"",IFERROR(_xlpm.horas/_xlpm.capacidad,"")))</f>
        <v/>
      </c>
      <c r="U60" s="34">
        <f>_xlfn.LET(_xlpm.horas,O60,_xlpm.feriados,IF($H60="CO",FER_CO,FER_EC),_xlpm.capacidad,NETWORKDAYS(O$3,O$4,_xlpm.feriados)*INDEX(Consultores!$C$6:$C$65,MATCH($A60,Consultores!$A$6:$A$65,0)),IF(_xlpm.horas=0,"",IFERROR(_xlpm.horas/_xlpm.capacidad,"")))</f>
        <v/>
      </c>
    </row>
    <row r="61">
      <c r="A61" s="25" t="n"/>
      <c r="B61" s="25" t="n"/>
      <c r="C61" s="25" t="n"/>
      <c r="D61" s="30" t="n"/>
      <c r="E61" s="30" t="n"/>
      <c r="F61" s="26" t="n"/>
      <c r="G61" s="25" t="n"/>
      <c r="H61" s="31">
        <f>IF($A61="","",IFERROR(INDEX(Consultores!$B$6:$B$65,MATCH($A61,Consultores!$A$6:$A$65,0)),"No existe"))</f>
        <v/>
      </c>
      <c r="I61" s="32">
        <f>IF($F61="",0,$F61/5)</f>
        <v/>
      </c>
      <c r="J61" s="33">
        <f>_xlfn.LET(_xlpm.inicio,MAX($D61,J$3),_xlpm.fin,MIN($E61,J$4),_xlpm.feriados,IF($H61="CO",FER_CO,FER_EC),_xlpm.dias,IF(_xlpm.inicio&gt;_xlpm.fin,0,NETWORKDAYS(_xlpm.inicio,_xlpm.fin,_xlpm.feriados)),_xlpm.factor,IF($G61="Probable",IF(Parametros!$B$6="Sí",1,0),1),IF(OR($A61="",$D61="",$E61=""),0,_xlpm.dias*$I61*_xlpm.factor))</f>
        <v/>
      </c>
      <c r="K61" s="33">
        <f>_xlfn.LET(_xlpm.inicio,MAX($D61,K$3),_xlpm.fin,MIN($E61,K$4),_xlpm.feriados,IF($H61="CO",FER_CO,FER_EC),_xlpm.dias,IF(_xlpm.inicio&gt;_xlpm.fin,0,NETWORKDAYS(_xlpm.inicio,_xlpm.fin,_xlpm.feriados)),_xlpm.factor,IF($G61="Probable",IF(Parametros!$B$6="Sí",1,0),1),IF(OR($A61="",$D61="",$E61=""),0,_xlpm.dias*$I61*_xlpm.factor))</f>
        <v/>
      </c>
      <c r="L61" s="33">
        <f>_xlfn.LET(_xlpm.inicio,MAX($D61,L$3),_xlpm.fin,MIN($E61,L$4),_xlpm.feriados,IF($H61="CO",FER_CO,FER_EC),_xlpm.dias,IF(_xlpm.inicio&gt;_xlpm.fin,0,NETWORKDAYS(_xlpm.inicio,_xlpm.fin,_xlpm.feriados)),_xlpm.factor,IF($G61="Probable",IF(Parametros!$B$6="Sí",1,0),1),IF(OR($A61="",$D61="",$E61=""),0,_xlpm.dias*$I61*_xlpm.factor))</f>
        <v/>
      </c>
      <c r="M61" s="33">
        <f>_xlfn.LET(_xlpm.inicio,MAX($D61,M$3),_xlpm.fin,MIN($E61,M$4),_xlpm.feriados,IF($H61="CO",FER_CO,FER_EC),_xlpm.dias,IF(_xlpm.inicio&gt;_xlpm.fin,0,NETWORKDAYS(_xlpm.inicio,_xlpm.fin,_xlpm.feriados)),_xlpm.factor,IF($G61="Probable",IF(Parametros!$B$6="Sí",1,0),1),IF(OR($A61="",$D61="",$E61=""),0,_xlpm.dias*$I61*_xlpm.factor))</f>
        <v/>
      </c>
      <c r="N61" s="33">
        <f>_xlfn.LET(_xlpm.inicio,MAX($D61,N$3),_xlpm.fin,MIN($E61,N$4),_xlpm.feriados,IF($H61="CO",FER_CO,FER_EC),_xlpm.dias,IF(_xlpm.inicio&gt;_xlpm.fin,0,NETWORKDAYS(_xlpm.inicio,_xlpm.fin,_xlpm.feriados)),_xlpm.factor,IF($G61="Probable",IF(Parametros!$B$6="Sí",1,0),1),IF(OR($A61="",$D61="",$E61=""),0,_xlpm.dias*$I61*_xlpm.factor))</f>
        <v/>
      </c>
      <c r="O61" s="33">
        <f>_xlfn.LET(_xlpm.inicio,MAX($D61,O$3),_xlpm.fin,MIN($E61,O$4),_xlpm.feriados,IF($H61="CO",FER_CO,FER_EC),_xlpm.dias,IF(_xlpm.inicio&gt;_xlpm.fin,0,NETWORKDAYS(_xlpm.inicio,_xlpm.fin,_xlpm.feriados)),_xlpm.factor,IF($G61="Probable",IF(Parametros!$B$6="Sí",1,0),1),IF(OR($A61="",$D61="",$E61=""),0,_xlpm.dias*$I61*_xlpm.factor))</f>
        <v/>
      </c>
      <c r="P61" s="34">
        <f>_xlfn.LET(_xlpm.horas,J61,_xlpm.feriados,IF($H61="CO",FER_CO,FER_EC),_xlpm.capacidad,NETWORKDAYS(J$3,J$4,_xlpm.feriados)*INDEX(Consultores!$C$6:$C$65,MATCH($A61,Consultores!$A$6:$A$65,0)),IF(_xlpm.horas=0,"",IFERROR(_xlpm.horas/_xlpm.capacidad,"")))</f>
        <v/>
      </c>
      <c r="Q61" s="34">
        <f>_xlfn.LET(_xlpm.horas,K61,_xlpm.feriados,IF($H61="CO",FER_CO,FER_EC),_xlpm.capacidad,NETWORKDAYS(K$3,K$4,_xlpm.feriados)*INDEX(Consultores!$C$6:$C$65,MATCH($A61,Consultores!$A$6:$A$65,0)),IF(_xlpm.horas=0,"",IFERROR(_xlpm.horas/_xlpm.capacidad,"")))</f>
        <v/>
      </c>
      <c r="R61" s="34">
        <f>_xlfn.LET(_xlpm.horas,L61,_xlpm.feriados,IF($H61="CO",FER_CO,FER_EC),_xlpm.capacidad,NETWORKDAYS(L$3,L$4,_xlpm.feriados)*INDEX(Consultores!$C$6:$C$65,MATCH($A61,Consultores!$A$6:$A$65,0)),IF(_xlpm.horas=0,"",IFERROR(_xlpm.horas/_xlpm.capacidad,"")))</f>
        <v/>
      </c>
      <c r="S61" s="34">
        <f>_xlfn.LET(_xlpm.horas,M61,_xlpm.feriados,IF($H61="CO",FER_CO,FER_EC),_xlpm.capacidad,NETWORKDAYS(M$3,M$4,_xlpm.feriados)*INDEX(Consultores!$C$6:$C$65,MATCH($A61,Consultores!$A$6:$A$65,0)),IF(_xlpm.horas=0,"",IFERROR(_xlpm.horas/_xlpm.capacidad,"")))</f>
        <v/>
      </c>
      <c r="T61" s="34">
        <f>_xlfn.LET(_xlpm.horas,N61,_xlpm.feriados,IF($H61="CO",FER_CO,FER_EC),_xlpm.capacidad,NETWORKDAYS(N$3,N$4,_xlpm.feriados)*INDEX(Consultores!$C$6:$C$65,MATCH($A61,Consultores!$A$6:$A$65,0)),IF(_xlpm.horas=0,"",IFERROR(_xlpm.horas/_xlpm.capacidad,"")))</f>
        <v/>
      </c>
      <c r="U61" s="34">
        <f>_xlfn.LET(_xlpm.horas,O61,_xlpm.feriados,IF($H61="CO",FER_CO,FER_EC),_xlpm.capacidad,NETWORKDAYS(O$3,O$4,_xlpm.feriados)*INDEX(Consultores!$C$6:$C$65,MATCH($A61,Consultores!$A$6:$A$65,0)),IF(_xlpm.horas=0,"",IFERROR(_xlpm.horas/_xlpm.capacidad,"")))</f>
        <v/>
      </c>
    </row>
    <row r="62">
      <c r="A62" s="25" t="n"/>
      <c r="B62" s="25" t="n"/>
      <c r="C62" s="25" t="n"/>
      <c r="D62" s="30" t="n"/>
      <c r="E62" s="30" t="n"/>
      <c r="F62" s="26" t="n"/>
      <c r="G62" s="25" t="n"/>
      <c r="H62" s="31">
        <f>IF($A62="","",IFERROR(INDEX(Consultores!$B$6:$B$65,MATCH($A62,Consultores!$A$6:$A$65,0)),"No existe"))</f>
        <v/>
      </c>
      <c r="I62" s="32">
        <f>IF($F62="",0,$F62/5)</f>
        <v/>
      </c>
      <c r="J62" s="33">
        <f>_xlfn.LET(_xlpm.inicio,MAX($D62,J$3),_xlpm.fin,MIN($E62,J$4),_xlpm.feriados,IF($H62="CO",FER_CO,FER_EC),_xlpm.dias,IF(_xlpm.inicio&gt;_xlpm.fin,0,NETWORKDAYS(_xlpm.inicio,_xlpm.fin,_xlpm.feriados)),_xlpm.factor,IF($G62="Probable",IF(Parametros!$B$6="Sí",1,0),1),IF(OR($A62="",$D62="",$E62=""),0,_xlpm.dias*$I62*_xlpm.factor))</f>
        <v/>
      </c>
      <c r="K62" s="33">
        <f>_xlfn.LET(_xlpm.inicio,MAX($D62,K$3),_xlpm.fin,MIN($E62,K$4),_xlpm.feriados,IF($H62="CO",FER_CO,FER_EC),_xlpm.dias,IF(_xlpm.inicio&gt;_xlpm.fin,0,NETWORKDAYS(_xlpm.inicio,_xlpm.fin,_xlpm.feriados)),_xlpm.factor,IF($G62="Probable",IF(Parametros!$B$6="Sí",1,0),1),IF(OR($A62="",$D62="",$E62=""),0,_xlpm.dias*$I62*_xlpm.factor))</f>
        <v/>
      </c>
      <c r="L62" s="33">
        <f>_xlfn.LET(_xlpm.inicio,MAX($D62,L$3),_xlpm.fin,MIN($E62,L$4),_xlpm.feriados,IF($H62="CO",FER_CO,FER_EC),_xlpm.dias,IF(_xlpm.inicio&gt;_xlpm.fin,0,NETWORKDAYS(_xlpm.inicio,_xlpm.fin,_xlpm.feriados)),_xlpm.factor,IF($G62="Probable",IF(Parametros!$B$6="Sí",1,0),1),IF(OR($A62="",$D62="",$E62=""),0,_xlpm.dias*$I62*_xlpm.factor))</f>
        <v/>
      </c>
      <c r="M62" s="33">
        <f>_xlfn.LET(_xlpm.inicio,MAX($D62,M$3),_xlpm.fin,MIN($E62,M$4),_xlpm.feriados,IF($H62="CO",FER_CO,FER_EC),_xlpm.dias,IF(_xlpm.inicio&gt;_xlpm.fin,0,NETWORKDAYS(_xlpm.inicio,_xlpm.fin,_xlpm.feriados)),_xlpm.factor,IF($G62="Probable",IF(Parametros!$B$6="Sí",1,0),1),IF(OR($A62="",$D62="",$E62=""),0,_xlpm.dias*$I62*_xlpm.factor))</f>
        <v/>
      </c>
      <c r="N62" s="33">
        <f>_xlfn.LET(_xlpm.inicio,MAX($D62,N$3),_xlpm.fin,MIN($E62,N$4),_xlpm.feriados,IF($H62="CO",FER_CO,FER_EC),_xlpm.dias,IF(_xlpm.inicio&gt;_xlpm.fin,0,NETWORKDAYS(_xlpm.inicio,_xlpm.fin,_xlpm.feriados)),_xlpm.factor,IF($G62="Probable",IF(Parametros!$B$6="Sí",1,0),1),IF(OR($A62="",$D62="",$E62=""),0,_xlpm.dias*$I62*_xlpm.factor))</f>
        <v/>
      </c>
      <c r="O62" s="33">
        <f>_xlfn.LET(_xlpm.inicio,MAX($D62,O$3),_xlpm.fin,MIN($E62,O$4),_xlpm.feriados,IF($H62="CO",FER_CO,FER_EC),_xlpm.dias,IF(_xlpm.inicio&gt;_xlpm.fin,0,NETWORKDAYS(_xlpm.inicio,_xlpm.fin,_xlpm.feriados)),_xlpm.factor,IF($G62="Probable",IF(Parametros!$B$6="Sí",1,0),1),IF(OR($A62="",$D62="",$E62=""),0,_xlpm.dias*$I62*_xlpm.factor))</f>
        <v/>
      </c>
      <c r="P62" s="34">
        <f>_xlfn.LET(_xlpm.horas,J62,_xlpm.feriados,IF($H62="CO",FER_CO,FER_EC),_xlpm.capacidad,NETWORKDAYS(J$3,J$4,_xlpm.feriados)*INDEX(Consultores!$C$6:$C$65,MATCH($A62,Consultores!$A$6:$A$65,0)),IF(_xlpm.horas=0,"",IFERROR(_xlpm.horas/_xlpm.capacidad,"")))</f>
        <v/>
      </c>
      <c r="Q62" s="34">
        <f>_xlfn.LET(_xlpm.horas,K62,_xlpm.feriados,IF($H62="CO",FER_CO,FER_EC),_xlpm.capacidad,NETWORKDAYS(K$3,K$4,_xlpm.feriados)*INDEX(Consultores!$C$6:$C$65,MATCH($A62,Consultores!$A$6:$A$65,0)),IF(_xlpm.horas=0,"",IFERROR(_xlpm.horas/_xlpm.capacidad,"")))</f>
        <v/>
      </c>
      <c r="R62" s="34">
        <f>_xlfn.LET(_xlpm.horas,L62,_xlpm.feriados,IF($H62="CO",FER_CO,FER_EC),_xlpm.capacidad,NETWORKDAYS(L$3,L$4,_xlpm.feriados)*INDEX(Consultores!$C$6:$C$65,MATCH($A62,Consultores!$A$6:$A$65,0)),IF(_xlpm.horas=0,"",IFERROR(_xlpm.horas/_xlpm.capacidad,"")))</f>
        <v/>
      </c>
      <c r="S62" s="34">
        <f>_xlfn.LET(_xlpm.horas,M62,_xlpm.feriados,IF($H62="CO",FER_CO,FER_EC),_xlpm.capacidad,NETWORKDAYS(M$3,M$4,_xlpm.feriados)*INDEX(Consultores!$C$6:$C$65,MATCH($A62,Consultores!$A$6:$A$65,0)),IF(_xlpm.horas=0,"",IFERROR(_xlpm.horas/_xlpm.capacidad,"")))</f>
        <v/>
      </c>
      <c r="T62" s="34">
        <f>_xlfn.LET(_xlpm.horas,N62,_xlpm.feriados,IF($H62="CO",FER_CO,FER_EC),_xlpm.capacidad,NETWORKDAYS(N$3,N$4,_xlpm.feriados)*INDEX(Consultores!$C$6:$C$65,MATCH($A62,Consultores!$A$6:$A$65,0)),IF(_xlpm.horas=0,"",IFERROR(_xlpm.horas/_xlpm.capacidad,"")))</f>
        <v/>
      </c>
      <c r="U62" s="34">
        <f>_xlfn.LET(_xlpm.horas,O62,_xlpm.feriados,IF($H62="CO",FER_CO,FER_EC),_xlpm.capacidad,NETWORKDAYS(O$3,O$4,_xlpm.feriados)*INDEX(Consultores!$C$6:$C$65,MATCH($A62,Consultores!$A$6:$A$65,0)),IF(_xlpm.horas=0,"",IFERROR(_xlpm.horas/_xlpm.capacidad,"")))</f>
        <v/>
      </c>
    </row>
    <row r="63">
      <c r="A63" s="25" t="n"/>
      <c r="B63" s="25" t="n"/>
      <c r="C63" s="25" t="n"/>
      <c r="D63" s="30" t="n"/>
      <c r="E63" s="30" t="n"/>
      <c r="F63" s="26" t="n"/>
      <c r="G63" s="25" t="n"/>
      <c r="H63" s="31">
        <f>IF($A63="","",IFERROR(INDEX(Consultores!$B$6:$B$65,MATCH($A63,Consultores!$A$6:$A$65,0)),"No existe"))</f>
        <v/>
      </c>
      <c r="I63" s="32">
        <f>IF($F63="",0,$F63/5)</f>
        <v/>
      </c>
      <c r="J63" s="33">
        <f>_xlfn.LET(_xlpm.inicio,MAX($D63,J$3),_xlpm.fin,MIN($E63,J$4),_xlpm.feriados,IF($H63="CO",FER_CO,FER_EC),_xlpm.dias,IF(_xlpm.inicio&gt;_xlpm.fin,0,NETWORKDAYS(_xlpm.inicio,_xlpm.fin,_xlpm.feriados)),_xlpm.factor,IF($G63="Probable",IF(Parametros!$B$6="Sí",1,0),1),IF(OR($A63="",$D63="",$E63=""),0,_xlpm.dias*$I63*_xlpm.factor))</f>
        <v/>
      </c>
      <c r="K63" s="33">
        <f>_xlfn.LET(_xlpm.inicio,MAX($D63,K$3),_xlpm.fin,MIN($E63,K$4),_xlpm.feriados,IF($H63="CO",FER_CO,FER_EC),_xlpm.dias,IF(_xlpm.inicio&gt;_xlpm.fin,0,NETWORKDAYS(_xlpm.inicio,_xlpm.fin,_xlpm.feriados)),_xlpm.factor,IF($G63="Probable",IF(Parametros!$B$6="Sí",1,0),1),IF(OR($A63="",$D63="",$E63=""),0,_xlpm.dias*$I63*_xlpm.factor))</f>
        <v/>
      </c>
      <c r="L63" s="33">
        <f>_xlfn.LET(_xlpm.inicio,MAX($D63,L$3),_xlpm.fin,MIN($E63,L$4),_xlpm.feriados,IF($H63="CO",FER_CO,FER_EC),_xlpm.dias,IF(_xlpm.inicio&gt;_xlpm.fin,0,NETWORKDAYS(_xlpm.inicio,_xlpm.fin,_xlpm.feriados)),_xlpm.factor,IF($G63="Probable",IF(Parametros!$B$6="Sí",1,0),1),IF(OR($A63="",$D63="",$E63=""),0,_xlpm.dias*$I63*_xlpm.factor))</f>
        <v/>
      </c>
      <c r="M63" s="33">
        <f>_xlfn.LET(_xlpm.inicio,MAX($D63,M$3),_xlpm.fin,MIN($E63,M$4),_xlpm.feriados,IF($H63="CO",FER_CO,FER_EC),_xlpm.dias,IF(_xlpm.inicio&gt;_xlpm.fin,0,NETWORKDAYS(_xlpm.inicio,_xlpm.fin,_xlpm.feriados)),_xlpm.factor,IF($G63="Probable",IF(Parametros!$B$6="Sí",1,0),1),IF(OR($A63="",$D63="",$E63=""),0,_xlpm.dias*$I63*_xlpm.factor))</f>
        <v/>
      </c>
      <c r="N63" s="33">
        <f>_xlfn.LET(_xlpm.inicio,MAX($D63,N$3),_xlpm.fin,MIN($E63,N$4),_xlpm.feriados,IF($H63="CO",FER_CO,FER_EC),_xlpm.dias,IF(_xlpm.inicio&gt;_xlpm.fin,0,NETWORKDAYS(_xlpm.inicio,_xlpm.fin,_xlpm.feriados)),_xlpm.factor,IF($G63="Probable",IF(Parametros!$B$6="Sí",1,0),1),IF(OR($A63="",$D63="",$E63=""),0,_xlpm.dias*$I63*_xlpm.factor))</f>
        <v/>
      </c>
      <c r="O63" s="33">
        <f>_xlfn.LET(_xlpm.inicio,MAX($D63,O$3),_xlpm.fin,MIN($E63,O$4),_xlpm.feriados,IF($H63="CO",FER_CO,FER_EC),_xlpm.dias,IF(_xlpm.inicio&gt;_xlpm.fin,0,NETWORKDAYS(_xlpm.inicio,_xlpm.fin,_xlpm.feriados)),_xlpm.factor,IF($G63="Probable",IF(Parametros!$B$6="Sí",1,0),1),IF(OR($A63="",$D63="",$E63=""),0,_xlpm.dias*$I63*_xlpm.factor))</f>
        <v/>
      </c>
      <c r="P63" s="34">
        <f>_xlfn.LET(_xlpm.horas,J63,_xlpm.feriados,IF($H63="CO",FER_CO,FER_EC),_xlpm.capacidad,NETWORKDAYS(J$3,J$4,_xlpm.feriados)*INDEX(Consultores!$C$6:$C$65,MATCH($A63,Consultores!$A$6:$A$65,0)),IF(_xlpm.horas=0,"",IFERROR(_xlpm.horas/_xlpm.capacidad,"")))</f>
        <v/>
      </c>
      <c r="Q63" s="34">
        <f>_xlfn.LET(_xlpm.horas,K63,_xlpm.feriados,IF($H63="CO",FER_CO,FER_EC),_xlpm.capacidad,NETWORKDAYS(K$3,K$4,_xlpm.feriados)*INDEX(Consultores!$C$6:$C$65,MATCH($A63,Consultores!$A$6:$A$65,0)),IF(_xlpm.horas=0,"",IFERROR(_xlpm.horas/_xlpm.capacidad,"")))</f>
        <v/>
      </c>
      <c r="R63" s="34">
        <f>_xlfn.LET(_xlpm.horas,L63,_xlpm.feriados,IF($H63="CO",FER_CO,FER_EC),_xlpm.capacidad,NETWORKDAYS(L$3,L$4,_xlpm.feriados)*INDEX(Consultores!$C$6:$C$65,MATCH($A63,Consultores!$A$6:$A$65,0)),IF(_xlpm.horas=0,"",IFERROR(_xlpm.horas/_xlpm.capacidad,"")))</f>
        <v/>
      </c>
      <c r="S63" s="34">
        <f>_xlfn.LET(_xlpm.horas,M63,_xlpm.feriados,IF($H63="CO",FER_CO,FER_EC),_xlpm.capacidad,NETWORKDAYS(M$3,M$4,_xlpm.feriados)*INDEX(Consultores!$C$6:$C$65,MATCH($A63,Consultores!$A$6:$A$65,0)),IF(_xlpm.horas=0,"",IFERROR(_xlpm.horas/_xlpm.capacidad,"")))</f>
        <v/>
      </c>
      <c r="T63" s="34">
        <f>_xlfn.LET(_xlpm.horas,N63,_xlpm.feriados,IF($H63="CO",FER_CO,FER_EC),_xlpm.capacidad,NETWORKDAYS(N$3,N$4,_xlpm.feriados)*INDEX(Consultores!$C$6:$C$65,MATCH($A63,Consultores!$A$6:$A$65,0)),IF(_xlpm.horas=0,"",IFERROR(_xlpm.horas/_xlpm.capacidad,"")))</f>
        <v/>
      </c>
      <c r="U63" s="34">
        <f>_xlfn.LET(_xlpm.horas,O63,_xlpm.feriados,IF($H63="CO",FER_CO,FER_EC),_xlpm.capacidad,NETWORKDAYS(O$3,O$4,_xlpm.feriados)*INDEX(Consultores!$C$6:$C$65,MATCH($A63,Consultores!$A$6:$A$65,0)),IF(_xlpm.horas=0,"",IFERROR(_xlpm.horas/_xlpm.capacidad,"")))</f>
        <v/>
      </c>
    </row>
    <row r="64">
      <c r="A64" s="25" t="n"/>
      <c r="B64" s="25" t="n"/>
      <c r="C64" s="25" t="n"/>
      <c r="D64" s="30" t="n"/>
      <c r="E64" s="30" t="n"/>
      <c r="F64" s="26" t="n"/>
      <c r="G64" s="25" t="n"/>
      <c r="H64" s="31">
        <f>IF($A64="","",IFERROR(INDEX(Consultores!$B$6:$B$65,MATCH($A64,Consultores!$A$6:$A$65,0)),"No existe"))</f>
        <v/>
      </c>
      <c r="I64" s="32">
        <f>IF($F64="",0,$F64/5)</f>
        <v/>
      </c>
      <c r="J64" s="33">
        <f>_xlfn.LET(_xlpm.inicio,MAX($D64,J$3),_xlpm.fin,MIN($E64,J$4),_xlpm.feriados,IF($H64="CO",FER_CO,FER_EC),_xlpm.dias,IF(_xlpm.inicio&gt;_xlpm.fin,0,NETWORKDAYS(_xlpm.inicio,_xlpm.fin,_xlpm.feriados)),_xlpm.factor,IF($G64="Probable",IF(Parametros!$B$6="Sí",1,0),1),IF(OR($A64="",$D64="",$E64=""),0,_xlpm.dias*$I64*_xlpm.factor))</f>
        <v/>
      </c>
      <c r="K64" s="33">
        <f>_xlfn.LET(_xlpm.inicio,MAX($D64,K$3),_xlpm.fin,MIN($E64,K$4),_xlpm.feriados,IF($H64="CO",FER_CO,FER_EC),_xlpm.dias,IF(_xlpm.inicio&gt;_xlpm.fin,0,NETWORKDAYS(_xlpm.inicio,_xlpm.fin,_xlpm.feriados)),_xlpm.factor,IF($G64="Probable",IF(Parametros!$B$6="Sí",1,0),1),IF(OR($A64="",$D64="",$E64=""),0,_xlpm.dias*$I64*_xlpm.factor))</f>
        <v/>
      </c>
      <c r="L64" s="33">
        <f>_xlfn.LET(_xlpm.inicio,MAX($D64,L$3),_xlpm.fin,MIN($E64,L$4),_xlpm.feriados,IF($H64="CO",FER_CO,FER_EC),_xlpm.dias,IF(_xlpm.inicio&gt;_xlpm.fin,0,NETWORKDAYS(_xlpm.inicio,_xlpm.fin,_xlpm.feriados)),_xlpm.factor,IF($G64="Probable",IF(Parametros!$B$6="Sí",1,0),1),IF(OR($A64="",$D64="",$E64=""),0,_xlpm.dias*$I64*_xlpm.factor))</f>
        <v/>
      </c>
      <c r="M64" s="33">
        <f>_xlfn.LET(_xlpm.inicio,MAX($D64,M$3),_xlpm.fin,MIN($E64,M$4),_xlpm.feriados,IF($H64="CO",FER_CO,FER_EC),_xlpm.dias,IF(_xlpm.inicio&gt;_xlpm.fin,0,NETWORKDAYS(_xlpm.inicio,_xlpm.fin,_xlpm.feriados)),_xlpm.factor,IF($G64="Probable",IF(Parametros!$B$6="Sí",1,0),1),IF(OR($A64="",$D64="",$E64=""),0,_xlpm.dias*$I64*_xlpm.factor))</f>
        <v/>
      </c>
      <c r="N64" s="33">
        <f>_xlfn.LET(_xlpm.inicio,MAX($D64,N$3),_xlpm.fin,MIN($E64,N$4),_xlpm.feriados,IF($H64="CO",FER_CO,FER_EC),_xlpm.dias,IF(_xlpm.inicio&gt;_xlpm.fin,0,NETWORKDAYS(_xlpm.inicio,_xlpm.fin,_xlpm.feriados)),_xlpm.factor,IF($G64="Probable",IF(Parametros!$B$6="Sí",1,0),1),IF(OR($A64="",$D64="",$E64=""),0,_xlpm.dias*$I64*_xlpm.factor))</f>
        <v/>
      </c>
      <c r="O64" s="33">
        <f>_xlfn.LET(_xlpm.inicio,MAX($D64,O$3),_xlpm.fin,MIN($E64,O$4),_xlpm.feriados,IF($H64="CO",FER_CO,FER_EC),_xlpm.dias,IF(_xlpm.inicio&gt;_xlpm.fin,0,NETWORKDAYS(_xlpm.inicio,_xlpm.fin,_xlpm.feriados)),_xlpm.factor,IF($G64="Probable",IF(Parametros!$B$6="Sí",1,0),1),IF(OR($A64="",$D64="",$E64=""),0,_xlpm.dias*$I64*_xlpm.factor))</f>
        <v/>
      </c>
      <c r="P64" s="34">
        <f>_xlfn.LET(_xlpm.horas,J64,_xlpm.feriados,IF($H64="CO",FER_CO,FER_EC),_xlpm.capacidad,NETWORKDAYS(J$3,J$4,_xlpm.feriados)*INDEX(Consultores!$C$6:$C$65,MATCH($A64,Consultores!$A$6:$A$65,0)),IF(_xlpm.horas=0,"",IFERROR(_xlpm.horas/_xlpm.capacidad,"")))</f>
        <v/>
      </c>
      <c r="Q64" s="34">
        <f>_xlfn.LET(_xlpm.horas,K64,_xlpm.feriados,IF($H64="CO",FER_CO,FER_EC),_xlpm.capacidad,NETWORKDAYS(K$3,K$4,_xlpm.feriados)*INDEX(Consultores!$C$6:$C$65,MATCH($A64,Consultores!$A$6:$A$65,0)),IF(_xlpm.horas=0,"",IFERROR(_xlpm.horas/_xlpm.capacidad,"")))</f>
        <v/>
      </c>
      <c r="R64" s="34">
        <f>_xlfn.LET(_xlpm.horas,L64,_xlpm.feriados,IF($H64="CO",FER_CO,FER_EC),_xlpm.capacidad,NETWORKDAYS(L$3,L$4,_xlpm.feriados)*INDEX(Consultores!$C$6:$C$65,MATCH($A64,Consultores!$A$6:$A$65,0)),IF(_xlpm.horas=0,"",IFERROR(_xlpm.horas/_xlpm.capacidad,"")))</f>
        <v/>
      </c>
      <c r="S64" s="34">
        <f>_xlfn.LET(_xlpm.horas,M64,_xlpm.feriados,IF($H64="CO",FER_CO,FER_EC),_xlpm.capacidad,NETWORKDAYS(M$3,M$4,_xlpm.feriados)*INDEX(Consultores!$C$6:$C$65,MATCH($A64,Consultores!$A$6:$A$65,0)),IF(_xlpm.horas=0,"",IFERROR(_xlpm.horas/_xlpm.capacidad,"")))</f>
        <v/>
      </c>
      <c r="T64" s="34">
        <f>_xlfn.LET(_xlpm.horas,N64,_xlpm.feriados,IF($H64="CO",FER_CO,FER_EC),_xlpm.capacidad,NETWORKDAYS(N$3,N$4,_xlpm.feriados)*INDEX(Consultores!$C$6:$C$65,MATCH($A64,Consultores!$A$6:$A$65,0)),IF(_xlpm.horas=0,"",IFERROR(_xlpm.horas/_xlpm.capacidad,"")))</f>
        <v/>
      </c>
      <c r="U64" s="34">
        <f>_xlfn.LET(_xlpm.horas,O64,_xlpm.feriados,IF($H64="CO",FER_CO,FER_EC),_xlpm.capacidad,NETWORKDAYS(O$3,O$4,_xlpm.feriados)*INDEX(Consultores!$C$6:$C$65,MATCH($A64,Consultores!$A$6:$A$65,0)),IF(_xlpm.horas=0,"",IFERROR(_xlpm.horas/_xlpm.capacidad,"")))</f>
        <v/>
      </c>
    </row>
    <row r="65">
      <c r="A65" s="25" t="n"/>
      <c r="B65" s="25" t="n"/>
      <c r="C65" s="25" t="n"/>
      <c r="D65" s="30" t="n"/>
      <c r="E65" s="30" t="n"/>
      <c r="F65" s="26" t="n"/>
      <c r="G65" s="25" t="n"/>
      <c r="H65" s="31">
        <f>IF($A65="","",IFERROR(INDEX(Consultores!$B$6:$B$65,MATCH($A65,Consultores!$A$6:$A$65,0)),"No existe"))</f>
        <v/>
      </c>
      <c r="I65" s="32">
        <f>IF($F65="",0,$F65/5)</f>
        <v/>
      </c>
      <c r="J65" s="33">
        <f>_xlfn.LET(_xlpm.inicio,MAX($D65,J$3),_xlpm.fin,MIN($E65,J$4),_xlpm.feriados,IF($H65="CO",FER_CO,FER_EC),_xlpm.dias,IF(_xlpm.inicio&gt;_xlpm.fin,0,NETWORKDAYS(_xlpm.inicio,_xlpm.fin,_xlpm.feriados)),_xlpm.factor,IF($G65="Probable",IF(Parametros!$B$6="Sí",1,0),1),IF(OR($A65="",$D65="",$E65=""),0,_xlpm.dias*$I65*_xlpm.factor))</f>
        <v/>
      </c>
      <c r="K65" s="33">
        <f>_xlfn.LET(_xlpm.inicio,MAX($D65,K$3),_xlpm.fin,MIN($E65,K$4),_xlpm.feriados,IF($H65="CO",FER_CO,FER_EC),_xlpm.dias,IF(_xlpm.inicio&gt;_xlpm.fin,0,NETWORKDAYS(_xlpm.inicio,_xlpm.fin,_xlpm.feriados)),_xlpm.factor,IF($G65="Probable",IF(Parametros!$B$6="Sí",1,0),1),IF(OR($A65="",$D65="",$E65=""),0,_xlpm.dias*$I65*_xlpm.factor))</f>
        <v/>
      </c>
      <c r="L65" s="33">
        <f>_xlfn.LET(_xlpm.inicio,MAX($D65,L$3),_xlpm.fin,MIN($E65,L$4),_xlpm.feriados,IF($H65="CO",FER_CO,FER_EC),_xlpm.dias,IF(_xlpm.inicio&gt;_xlpm.fin,0,NETWORKDAYS(_xlpm.inicio,_xlpm.fin,_xlpm.feriados)),_xlpm.factor,IF($G65="Probable",IF(Parametros!$B$6="Sí",1,0),1),IF(OR($A65="",$D65="",$E65=""),0,_xlpm.dias*$I65*_xlpm.factor))</f>
        <v/>
      </c>
      <c r="M65" s="33">
        <f>_xlfn.LET(_xlpm.inicio,MAX($D65,M$3),_xlpm.fin,MIN($E65,M$4),_xlpm.feriados,IF($H65="CO",FER_CO,FER_EC),_xlpm.dias,IF(_xlpm.inicio&gt;_xlpm.fin,0,NETWORKDAYS(_xlpm.inicio,_xlpm.fin,_xlpm.feriados)),_xlpm.factor,IF($G65="Probable",IF(Parametros!$B$6="Sí",1,0),1),IF(OR($A65="",$D65="",$E65=""),0,_xlpm.dias*$I65*_xlpm.factor))</f>
        <v/>
      </c>
      <c r="N65" s="33">
        <f>_xlfn.LET(_xlpm.inicio,MAX($D65,N$3),_xlpm.fin,MIN($E65,N$4),_xlpm.feriados,IF($H65="CO",FER_CO,FER_EC),_xlpm.dias,IF(_xlpm.inicio&gt;_xlpm.fin,0,NETWORKDAYS(_xlpm.inicio,_xlpm.fin,_xlpm.feriados)),_xlpm.factor,IF($G65="Probable",IF(Parametros!$B$6="Sí",1,0),1),IF(OR($A65="",$D65="",$E65=""),0,_xlpm.dias*$I65*_xlpm.factor))</f>
        <v/>
      </c>
      <c r="O65" s="33">
        <f>_xlfn.LET(_xlpm.inicio,MAX($D65,O$3),_xlpm.fin,MIN($E65,O$4),_xlpm.feriados,IF($H65="CO",FER_CO,FER_EC),_xlpm.dias,IF(_xlpm.inicio&gt;_xlpm.fin,0,NETWORKDAYS(_xlpm.inicio,_xlpm.fin,_xlpm.feriados)),_xlpm.factor,IF($G65="Probable",IF(Parametros!$B$6="Sí",1,0),1),IF(OR($A65="",$D65="",$E65=""),0,_xlpm.dias*$I65*_xlpm.factor))</f>
        <v/>
      </c>
      <c r="P65" s="34">
        <f>_xlfn.LET(_xlpm.horas,J65,_xlpm.feriados,IF($H65="CO",FER_CO,FER_EC),_xlpm.capacidad,NETWORKDAYS(J$3,J$4,_xlpm.feriados)*INDEX(Consultores!$C$6:$C$65,MATCH($A65,Consultores!$A$6:$A$65,0)),IF(_xlpm.horas=0,"",IFERROR(_xlpm.horas/_xlpm.capacidad,"")))</f>
        <v/>
      </c>
      <c r="Q65" s="34">
        <f>_xlfn.LET(_xlpm.horas,K65,_xlpm.feriados,IF($H65="CO",FER_CO,FER_EC),_xlpm.capacidad,NETWORKDAYS(K$3,K$4,_xlpm.feriados)*INDEX(Consultores!$C$6:$C$65,MATCH($A65,Consultores!$A$6:$A$65,0)),IF(_xlpm.horas=0,"",IFERROR(_xlpm.horas/_xlpm.capacidad,"")))</f>
        <v/>
      </c>
      <c r="R65" s="34">
        <f>_xlfn.LET(_xlpm.horas,L65,_xlpm.feriados,IF($H65="CO",FER_CO,FER_EC),_xlpm.capacidad,NETWORKDAYS(L$3,L$4,_xlpm.feriados)*INDEX(Consultores!$C$6:$C$65,MATCH($A65,Consultores!$A$6:$A$65,0)),IF(_xlpm.horas=0,"",IFERROR(_xlpm.horas/_xlpm.capacidad,"")))</f>
        <v/>
      </c>
      <c r="S65" s="34">
        <f>_xlfn.LET(_xlpm.horas,M65,_xlpm.feriados,IF($H65="CO",FER_CO,FER_EC),_xlpm.capacidad,NETWORKDAYS(M$3,M$4,_xlpm.feriados)*INDEX(Consultores!$C$6:$C$65,MATCH($A65,Consultores!$A$6:$A$65,0)),IF(_xlpm.horas=0,"",IFERROR(_xlpm.horas/_xlpm.capacidad,"")))</f>
        <v/>
      </c>
      <c r="T65" s="34">
        <f>_xlfn.LET(_xlpm.horas,N65,_xlpm.feriados,IF($H65="CO",FER_CO,FER_EC),_xlpm.capacidad,NETWORKDAYS(N$3,N$4,_xlpm.feriados)*INDEX(Consultores!$C$6:$C$65,MATCH($A65,Consultores!$A$6:$A$65,0)),IF(_xlpm.horas=0,"",IFERROR(_xlpm.horas/_xlpm.capacidad,"")))</f>
        <v/>
      </c>
      <c r="U65" s="34">
        <f>_xlfn.LET(_xlpm.horas,O65,_xlpm.feriados,IF($H65="CO",FER_CO,FER_EC),_xlpm.capacidad,NETWORKDAYS(O$3,O$4,_xlpm.feriados)*INDEX(Consultores!$C$6:$C$65,MATCH($A65,Consultores!$A$6:$A$65,0)),IF(_xlpm.horas=0,"",IFERROR(_xlpm.horas/_xlpm.capacidad,"")))</f>
        <v/>
      </c>
    </row>
    <row r="66">
      <c r="A66" s="25" t="n"/>
      <c r="B66" s="25" t="n"/>
      <c r="C66" s="25" t="n"/>
      <c r="D66" s="30" t="n"/>
      <c r="E66" s="30" t="n"/>
      <c r="F66" s="26" t="n"/>
      <c r="G66" s="25" t="n"/>
      <c r="H66" s="31">
        <f>IF($A66="","",IFERROR(INDEX(Consultores!$B$6:$B$65,MATCH($A66,Consultores!$A$6:$A$65,0)),"No existe"))</f>
        <v/>
      </c>
      <c r="I66" s="32">
        <f>IF($F66="",0,$F66/5)</f>
        <v/>
      </c>
      <c r="J66" s="33">
        <f>_xlfn.LET(_xlpm.inicio,MAX($D66,J$3),_xlpm.fin,MIN($E66,J$4),_xlpm.feriados,IF($H66="CO",FER_CO,FER_EC),_xlpm.dias,IF(_xlpm.inicio&gt;_xlpm.fin,0,NETWORKDAYS(_xlpm.inicio,_xlpm.fin,_xlpm.feriados)),_xlpm.factor,IF($G66="Probable",IF(Parametros!$B$6="Sí",1,0),1),IF(OR($A66="",$D66="",$E66=""),0,_xlpm.dias*$I66*_xlpm.factor))</f>
        <v/>
      </c>
      <c r="K66" s="33">
        <f>_xlfn.LET(_xlpm.inicio,MAX($D66,K$3),_xlpm.fin,MIN($E66,K$4),_xlpm.feriados,IF($H66="CO",FER_CO,FER_EC),_xlpm.dias,IF(_xlpm.inicio&gt;_xlpm.fin,0,NETWORKDAYS(_xlpm.inicio,_xlpm.fin,_xlpm.feriados)),_xlpm.factor,IF($G66="Probable",IF(Parametros!$B$6="Sí",1,0),1),IF(OR($A66="",$D66="",$E66=""),0,_xlpm.dias*$I66*_xlpm.factor))</f>
        <v/>
      </c>
      <c r="L66" s="33">
        <f>_xlfn.LET(_xlpm.inicio,MAX($D66,L$3),_xlpm.fin,MIN($E66,L$4),_xlpm.feriados,IF($H66="CO",FER_CO,FER_EC),_xlpm.dias,IF(_xlpm.inicio&gt;_xlpm.fin,0,NETWORKDAYS(_xlpm.inicio,_xlpm.fin,_xlpm.feriados)),_xlpm.factor,IF($G66="Probable",IF(Parametros!$B$6="Sí",1,0),1),IF(OR($A66="",$D66="",$E66=""),0,_xlpm.dias*$I66*_xlpm.factor))</f>
        <v/>
      </c>
      <c r="M66" s="33">
        <f>_xlfn.LET(_xlpm.inicio,MAX($D66,M$3),_xlpm.fin,MIN($E66,M$4),_xlpm.feriados,IF($H66="CO",FER_CO,FER_EC),_xlpm.dias,IF(_xlpm.inicio&gt;_xlpm.fin,0,NETWORKDAYS(_xlpm.inicio,_xlpm.fin,_xlpm.feriados)),_xlpm.factor,IF($G66="Probable",IF(Parametros!$B$6="Sí",1,0),1),IF(OR($A66="",$D66="",$E66=""),0,_xlpm.dias*$I66*_xlpm.factor))</f>
        <v/>
      </c>
      <c r="N66" s="33">
        <f>_xlfn.LET(_xlpm.inicio,MAX($D66,N$3),_xlpm.fin,MIN($E66,N$4),_xlpm.feriados,IF($H66="CO",FER_CO,FER_EC),_xlpm.dias,IF(_xlpm.inicio&gt;_xlpm.fin,0,NETWORKDAYS(_xlpm.inicio,_xlpm.fin,_xlpm.feriados)),_xlpm.factor,IF($G66="Probable",IF(Parametros!$B$6="Sí",1,0),1),IF(OR($A66="",$D66="",$E66=""),0,_xlpm.dias*$I66*_xlpm.factor))</f>
        <v/>
      </c>
      <c r="O66" s="33">
        <f>_xlfn.LET(_xlpm.inicio,MAX($D66,O$3),_xlpm.fin,MIN($E66,O$4),_xlpm.feriados,IF($H66="CO",FER_CO,FER_EC),_xlpm.dias,IF(_xlpm.inicio&gt;_xlpm.fin,0,NETWORKDAYS(_xlpm.inicio,_xlpm.fin,_xlpm.feriados)),_xlpm.factor,IF($G66="Probable",IF(Parametros!$B$6="Sí",1,0),1),IF(OR($A66="",$D66="",$E66=""),0,_xlpm.dias*$I66*_xlpm.factor))</f>
        <v/>
      </c>
      <c r="P66" s="34">
        <f>_xlfn.LET(_xlpm.horas,J66,_xlpm.feriados,IF($H66="CO",FER_CO,FER_EC),_xlpm.capacidad,NETWORKDAYS(J$3,J$4,_xlpm.feriados)*INDEX(Consultores!$C$6:$C$65,MATCH($A66,Consultores!$A$6:$A$65,0)),IF(_xlpm.horas=0,"",IFERROR(_xlpm.horas/_xlpm.capacidad,"")))</f>
        <v/>
      </c>
      <c r="Q66" s="34">
        <f>_xlfn.LET(_xlpm.horas,K66,_xlpm.feriados,IF($H66="CO",FER_CO,FER_EC),_xlpm.capacidad,NETWORKDAYS(K$3,K$4,_xlpm.feriados)*INDEX(Consultores!$C$6:$C$65,MATCH($A66,Consultores!$A$6:$A$65,0)),IF(_xlpm.horas=0,"",IFERROR(_xlpm.horas/_xlpm.capacidad,"")))</f>
        <v/>
      </c>
      <c r="R66" s="34">
        <f>_xlfn.LET(_xlpm.horas,L66,_xlpm.feriados,IF($H66="CO",FER_CO,FER_EC),_xlpm.capacidad,NETWORKDAYS(L$3,L$4,_xlpm.feriados)*INDEX(Consultores!$C$6:$C$65,MATCH($A66,Consultores!$A$6:$A$65,0)),IF(_xlpm.horas=0,"",IFERROR(_xlpm.horas/_xlpm.capacidad,"")))</f>
        <v/>
      </c>
      <c r="S66" s="34">
        <f>_xlfn.LET(_xlpm.horas,M66,_xlpm.feriados,IF($H66="CO",FER_CO,FER_EC),_xlpm.capacidad,NETWORKDAYS(M$3,M$4,_xlpm.feriados)*INDEX(Consultores!$C$6:$C$65,MATCH($A66,Consultores!$A$6:$A$65,0)),IF(_xlpm.horas=0,"",IFERROR(_xlpm.horas/_xlpm.capacidad,"")))</f>
        <v/>
      </c>
      <c r="T66" s="34">
        <f>_xlfn.LET(_xlpm.horas,N66,_xlpm.feriados,IF($H66="CO",FER_CO,FER_EC),_xlpm.capacidad,NETWORKDAYS(N$3,N$4,_xlpm.feriados)*INDEX(Consultores!$C$6:$C$65,MATCH($A66,Consultores!$A$6:$A$65,0)),IF(_xlpm.horas=0,"",IFERROR(_xlpm.horas/_xlpm.capacidad,"")))</f>
        <v/>
      </c>
      <c r="U66" s="34">
        <f>_xlfn.LET(_xlpm.horas,O66,_xlpm.feriados,IF($H66="CO",FER_CO,FER_EC),_xlpm.capacidad,NETWORKDAYS(O$3,O$4,_xlpm.feriados)*INDEX(Consultores!$C$6:$C$65,MATCH($A66,Consultores!$A$6:$A$65,0)),IF(_xlpm.horas=0,"",IFERROR(_xlpm.horas/_xlpm.capacidad,"")))</f>
        <v/>
      </c>
    </row>
    <row r="67">
      <c r="A67" s="25" t="n"/>
      <c r="B67" s="25" t="n"/>
      <c r="C67" s="25" t="n"/>
      <c r="D67" s="30" t="n"/>
      <c r="E67" s="30" t="n"/>
      <c r="F67" s="26" t="n"/>
      <c r="G67" s="25" t="n"/>
      <c r="H67" s="31">
        <f>IF($A67="","",IFERROR(INDEX(Consultores!$B$6:$B$65,MATCH($A67,Consultores!$A$6:$A$65,0)),"No existe"))</f>
        <v/>
      </c>
      <c r="I67" s="32">
        <f>IF($F67="",0,$F67/5)</f>
        <v/>
      </c>
      <c r="J67" s="33">
        <f>_xlfn.LET(_xlpm.inicio,MAX($D67,J$3),_xlpm.fin,MIN($E67,J$4),_xlpm.feriados,IF($H67="CO",FER_CO,FER_EC),_xlpm.dias,IF(_xlpm.inicio&gt;_xlpm.fin,0,NETWORKDAYS(_xlpm.inicio,_xlpm.fin,_xlpm.feriados)),_xlpm.factor,IF($G67="Probable",IF(Parametros!$B$6="Sí",1,0),1),IF(OR($A67="",$D67="",$E67=""),0,_xlpm.dias*$I67*_xlpm.factor))</f>
        <v/>
      </c>
      <c r="K67" s="33">
        <f>_xlfn.LET(_xlpm.inicio,MAX($D67,K$3),_xlpm.fin,MIN($E67,K$4),_xlpm.feriados,IF($H67="CO",FER_CO,FER_EC),_xlpm.dias,IF(_xlpm.inicio&gt;_xlpm.fin,0,NETWORKDAYS(_xlpm.inicio,_xlpm.fin,_xlpm.feriados)),_xlpm.factor,IF($G67="Probable",IF(Parametros!$B$6="Sí",1,0),1),IF(OR($A67="",$D67="",$E67=""),0,_xlpm.dias*$I67*_xlpm.factor))</f>
        <v/>
      </c>
      <c r="L67" s="33">
        <f>_xlfn.LET(_xlpm.inicio,MAX($D67,L$3),_xlpm.fin,MIN($E67,L$4),_xlpm.feriados,IF($H67="CO",FER_CO,FER_EC),_xlpm.dias,IF(_xlpm.inicio&gt;_xlpm.fin,0,NETWORKDAYS(_xlpm.inicio,_xlpm.fin,_xlpm.feriados)),_xlpm.factor,IF($G67="Probable",IF(Parametros!$B$6="Sí",1,0),1),IF(OR($A67="",$D67="",$E67=""),0,_xlpm.dias*$I67*_xlpm.factor))</f>
        <v/>
      </c>
      <c r="M67" s="33">
        <f>_xlfn.LET(_xlpm.inicio,MAX($D67,M$3),_xlpm.fin,MIN($E67,M$4),_xlpm.feriados,IF($H67="CO",FER_CO,FER_EC),_xlpm.dias,IF(_xlpm.inicio&gt;_xlpm.fin,0,NETWORKDAYS(_xlpm.inicio,_xlpm.fin,_xlpm.feriados)),_xlpm.factor,IF($G67="Probable",IF(Parametros!$B$6="Sí",1,0),1),IF(OR($A67="",$D67="",$E67=""),0,_xlpm.dias*$I67*_xlpm.factor))</f>
        <v/>
      </c>
      <c r="N67" s="33">
        <f>_xlfn.LET(_xlpm.inicio,MAX($D67,N$3),_xlpm.fin,MIN($E67,N$4),_xlpm.feriados,IF($H67="CO",FER_CO,FER_EC),_xlpm.dias,IF(_xlpm.inicio&gt;_xlpm.fin,0,NETWORKDAYS(_xlpm.inicio,_xlpm.fin,_xlpm.feriados)),_xlpm.factor,IF($G67="Probable",IF(Parametros!$B$6="Sí",1,0),1),IF(OR($A67="",$D67="",$E67=""),0,_xlpm.dias*$I67*_xlpm.factor))</f>
        <v/>
      </c>
      <c r="O67" s="33">
        <f>_xlfn.LET(_xlpm.inicio,MAX($D67,O$3),_xlpm.fin,MIN($E67,O$4),_xlpm.feriados,IF($H67="CO",FER_CO,FER_EC),_xlpm.dias,IF(_xlpm.inicio&gt;_xlpm.fin,0,NETWORKDAYS(_xlpm.inicio,_xlpm.fin,_xlpm.feriados)),_xlpm.factor,IF($G67="Probable",IF(Parametros!$B$6="Sí",1,0),1),IF(OR($A67="",$D67="",$E67=""),0,_xlpm.dias*$I67*_xlpm.factor))</f>
        <v/>
      </c>
      <c r="P67" s="34">
        <f>_xlfn.LET(_xlpm.horas,J67,_xlpm.feriados,IF($H67="CO",FER_CO,FER_EC),_xlpm.capacidad,NETWORKDAYS(J$3,J$4,_xlpm.feriados)*INDEX(Consultores!$C$6:$C$65,MATCH($A67,Consultores!$A$6:$A$65,0)),IF(_xlpm.horas=0,"",IFERROR(_xlpm.horas/_xlpm.capacidad,"")))</f>
        <v/>
      </c>
      <c r="Q67" s="34">
        <f>_xlfn.LET(_xlpm.horas,K67,_xlpm.feriados,IF($H67="CO",FER_CO,FER_EC),_xlpm.capacidad,NETWORKDAYS(K$3,K$4,_xlpm.feriados)*INDEX(Consultores!$C$6:$C$65,MATCH($A67,Consultores!$A$6:$A$65,0)),IF(_xlpm.horas=0,"",IFERROR(_xlpm.horas/_xlpm.capacidad,"")))</f>
        <v/>
      </c>
      <c r="R67" s="34">
        <f>_xlfn.LET(_xlpm.horas,L67,_xlpm.feriados,IF($H67="CO",FER_CO,FER_EC),_xlpm.capacidad,NETWORKDAYS(L$3,L$4,_xlpm.feriados)*INDEX(Consultores!$C$6:$C$65,MATCH($A67,Consultores!$A$6:$A$65,0)),IF(_xlpm.horas=0,"",IFERROR(_xlpm.horas/_xlpm.capacidad,"")))</f>
        <v/>
      </c>
      <c r="S67" s="34">
        <f>_xlfn.LET(_xlpm.horas,M67,_xlpm.feriados,IF($H67="CO",FER_CO,FER_EC),_xlpm.capacidad,NETWORKDAYS(M$3,M$4,_xlpm.feriados)*INDEX(Consultores!$C$6:$C$65,MATCH($A67,Consultores!$A$6:$A$65,0)),IF(_xlpm.horas=0,"",IFERROR(_xlpm.horas/_xlpm.capacidad,"")))</f>
        <v/>
      </c>
      <c r="T67" s="34">
        <f>_xlfn.LET(_xlpm.horas,N67,_xlpm.feriados,IF($H67="CO",FER_CO,FER_EC),_xlpm.capacidad,NETWORKDAYS(N$3,N$4,_xlpm.feriados)*INDEX(Consultores!$C$6:$C$65,MATCH($A67,Consultores!$A$6:$A$65,0)),IF(_xlpm.horas=0,"",IFERROR(_xlpm.horas/_xlpm.capacidad,"")))</f>
        <v/>
      </c>
      <c r="U67" s="34">
        <f>_xlfn.LET(_xlpm.horas,O67,_xlpm.feriados,IF($H67="CO",FER_CO,FER_EC),_xlpm.capacidad,NETWORKDAYS(O$3,O$4,_xlpm.feriados)*INDEX(Consultores!$C$6:$C$65,MATCH($A67,Consultores!$A$6:$A$65,0)),IF(_xlpm.horas=0,"",IFERROR(_xlpm.horas/_xlpm.capacidad,"")))</f>
        <v/>
      </c>
    </row>
    <row r="68">
      <c r="A68" s="25" t="n"/>
      <c r="B68" s="25" t="n"/>
      <c r="C68" s="25" t="n"/>
      <c r="D68" s="30" t="n"/>
      <c r="E68" s="30" t="n"/>
      <c r="F68" s="26" t="n"/>
      <c r="G68" s="25" t="n"/>
      <c r="H68" s="31">
        <f>IF($A68="","",IFERROR(INDEX(Consultores!$B$6:$B$65,MATCH($A68,Consultores!$A$6:$A$65,0)),"No existe"))</f>
        <v/>
      </c>
      <c r="I68" s="32">
        <f>IF($F68="",0,$F68/5)</f>
        <v/>
      </c>
      <c r="J68" s="33">
        <f>_xlfn.LET(_xlpm.inicio,MAX($D68,J$3),_xlpm.fin,MIN($E68,J$4),_xlpm.feriados,IF($H68="CO",FER_CO,FER_EC),_xlpm.dias,IF(_xlpm.inicio&gt;_xlpm.fin,0,NETWORKDAYS(_xlpm.inicio,_xlpm.fin,_xlpm.feriados)),_xlpm.factor,IF($G68="Probable",IF(Parametros!$B$6="Sí",1,0),1),IF(OR($A68="",$D68="",$E68=""),0,_xlpm.dias*$I68*_xlpm.factor))</f>
        <v/>
      </c>
      <c r="K68" s="33">
        <f>_xlfn.LET(_xlpm.inicio,MAX($D68,K$3),_xlpm.fin,MIN($E68,K$4),_xlpm.feriados,IF($H68="CO",FER_CO,FER_EC),_xlpm.dias,IF(_xlpm.inicio&gt;_xlpm.fin,0,NETWORKDAYS(_xlpm.inicio,_xlpm.fin,_xlpm.feriados)),_xlpm.factor,IF($G68="Probable",IF(Parametros!$B$6="Sí",1,0),1),IF(OR($A68="",$D68="",$E68=""),0,_xlpm.dias*$I68*_xlpm.factor))</f>
        <v/>
      </c>
      <c r="L68" s="33">
        <f>_xlfn.LET(_xlpm.inicio,MAX($D68,L$3),_xlpm.fin,MIN($E68,L$4),_xlpm.feriados,IF($H68="CO",FER_CO,FER_EC),_xlpm.dias,IF(_xlpm.inicio&gt;_xlpm.fin,0,NETWORKDAYS(_xlpm.inicio,_xlpm.fin,_xlpm.feriados)),_xlpm.factor,IF($G68="Probable",IF(Parametros!$B$6="Sí",1,0),1),IF(OR($A68="",$D68="",$E68=""),0,_xlpm.dias*$I68*_xlpm.factor))</f>
        <v/>
      </c>
      <c r="M68" s="33">
        <f>_xlfn.LET(_xlpm.inicio,MAX($D68,M$3),_xlpm.fin,MIN($E68,M$4),_xlpm.feriados,IF($H68="CO",FER_CO,FER_EC),_xlpm.dias,IF(_xlpm.inicio&gt;_xlpm.fin,0,NETWORKDAYS(_xlpm.inicio,_xlpm.fin,_xlpm.feriados)),_xlpm.factor,IF($G68="Probable",IF(Parametros!$B$6="Sí",1,0),1),IF(OR($A68="",$D68="",$E68=""),0,_xlpm.dias*$I68*_xlpm.factor))</f>
        <v/>
      </c>
      <c r="N68" s="33">
        <f>_xlfn.LET(_xlpm.inicio,MAX($D68,N$3),_xlpm.fin,MIN($E68,N$4),_xlpm.feriados,IF($H68="CO",FER_CO,FER_EC),_xlpm.dias,IF(_xlpm.inicio&gt;_xlpm.fin,0,NETWORKDAYS(_xlpm.inicio,_xlpm.fin,_xlpm.feriados)),_xlpm.factor,IF($G68="Probable",IF(Parametros!$B$6="Sí",1,0),1),IF(OR($A68="",$D68="",$E68=""),0,_xlpm.dias*$I68*_xlpm.factor))</f>
        <v/>
      </c>
      <c r="O68" s="33">
        <f>_xlfn.LET(_xlpm.inicio,MAX($D68,O$3),_xlpm.fin,MIN($E68,O$4),_xlpm.feriados,IF($H68="CO",FER_CO,FER_EC),_xlpm.dias,IF(_xlpm.inicio&gt;_xlpm.fin,0,NETWORKDAYS(_xlpm.inicio,_xlpm.fin,_xlpm.feriados)),_xlpm.factor,IF($G68="Probable",IF(Parametros!$B$6="Sí",1,0),1),IF(OR($A68="",$D68="",$E68=""),0,_xlpm.dias*$I68*_xlpm.factor))</f>
        <v/>
      </c>
      <c r="P68" s="34">
        <f>_xlfn.LET(_xlpm.horas,J68,_xlpm.feriados,IF($H68="CO",FER_CO,FER_EC),_xlpm.capacidad,NETWORKDAYS(J$3,J$4,_xlpm.feriados)*INDEX(Consultores!$C$6:$C$65,MATCH($A68,Consultores!$A$6:$A$65,0)),IF(_xlpm.horas=0,"",IFERROR(_xlpm.horas/_xlpm.capacidad,"")))</f>
        <v/>
      </c>
      <c r="Q68" s="34">
        <f>_xlfn.LET(_xlpm.horas,K68,_xlpm.feriados,IF($H68="CO",FER_CO,FER_EC),_xlpm.capacidad,NETWORKDAYS(K$3,K$4,_xlpm.feriados)*INDEX(Consultores!$C$6:$C$65,MATCH($A68,Consultores!$A$6:$A$65,0)),IF(_xlpm.horas=0,"",IFERROR(_xlpm.horas/_xlpm.capacidad,"")))</f>
        <v/>
      </c>
      <c r="R68" s="34">
        <f>_xlfn.LET(_xlpm.horas,L68,_xlpm.feriados,IF($H68="CO",FER_CO,FER_EC),_xlpm.capacidad,NETWORKDAYS(L$3,L$4,_xlpm.feriados)*INDEX(Consultores!$C$6:$C$65,MATCH($A68,Consultores!$A$6:$A$65,0)),IF(_xlpm.horas=0,"",IFERROR(_xlpm.horas/_xlpm.capacidad,"")))</f>
        <v/>
      </c>
      <c r="S68" s="34">
        <f>_xlfn.LET(_xlpm.horas,M68,_xlpm.feriados,IF($H68="CO",FER_CO,FER_EC),_xlpm.capacidad,NETWORKDAYS(M$3,M$4,_xlpm.feriados)*INDEX(Consultores!$C$6:$C$65,MATCH($A68,Consultores!$A$6:$A$65,0)),IF(_xlpm.horas=0,"",IFERROR(_xlpm.horas/_xlpm.capacidad,"")))</f>
        <v/>
      </c>
      <c r="T68" s="34">
        <f>_xlfn.LET(_xlpm.horas,N68,_xlpm.feriados,IF($H68="CO",FER_CO,FER_EC),_xlpm.capacidad,NETWORKDAYS(N$3,N$4,_xlpm.feriados)*INDEX(Consultores!$C$6:$C$65,MATCH($A68,Consultores!$A$6:$A$65,0)),IF(_xlpm.horas=0,"",IFERROR(_xlpm.horas/_xlpm.capacidad,"")))</f>
        <v/>
      </c>
      <c r="U68" s="34">
        <f>_xlfn.LET(_xlpm.horas,O68,_xlpm.feriados,IF($H68="CO",FER_CO,FER_EC),_xlpm.capacidad,NETWORKDAYS(O$3,O$4,_xlpm.feriados)*INDEX(Consultores!$C$6:$C$65,MATCH($A68,Consultores!$A$6:$A$65,0)),IF(_xlpm.horas=0,"",IFERROR(_xlpm.horas/_xlpm.capacidad,"")))</f>
        <v/>
      </c>
    </row>
    <row r="69">
      <c r="A69" s="25" t="n"/>
      <c r="B69" s="25" t="n"/>
      <c r="C69" s="25" t="n"/>
      <c r="D69" s="30" t="n"/>
      <c r="E69" s="30" t="n"/>
      <c r="F69" s="26" t="n"/>
      <c r="G69" s="25" t="n"/>
      <c r="H69" s="31">
        <f>IF($A69="","",IFERROR(INDEX(Consultores!$B$6:$B$65,MATCH($A69,Consultores!$A$6:$A$65,0)),"No existe"))</f>
        <v/>
      </c>
      <c r="I69" s="32">
        <f>IF($F69="",0,$F69/5)</f>
        <v/>
      </c>
      <c r="J69" s="33">
        <f>_xlfn.LET(_xlpm.inicio,MAX($D69,J$3),_xlpm.fin,MIN($E69,J$4),_xlpm.feriados,IF($H69="CO",FER_CO,FER_EC),_xlpm.dias,IF(_xlpm.inicio&gt;_xlpm.fin,0,NETWORKDAYS(_xlpm.inicio,_xlpm.fin,_xlpm.feriados)),_xlpm.factor,IF($G69="Probable",IF(Parametros!$B$6="Sí",1,0),1),IF(OR($A69="",$D69="",$E69=""),0,_xlpm.dias*$I69*_xlpm.factor))</f>
        <v/>
      </c>
      <c r="K69" s="33">
        <f>_xlfn.LET(_xlpm.inicio,MAX($D69,K$3),_xlpm.fin,MIN($E69,K$4),_xlpm.feriados,IF($H69="CO",FER_CO,FER_EC),_xlpm.dias,IF(_xlpm.inicio&gt;_xlpm.fin,0,NETWORKDAYS(_xlpm.inicio,_xlpm.fin,_xlpm.feriados)),_xlpm.factor,IF($G69="Probable",IF(Parametros!$B$6="Sí",1,0),1),IF(OR($A69="",$D69="",$E69=""),0,_xlpm.dias*$I69*_xlpm.factor))</f>
        <v/>
      </c>
      <c r="L69" s="33">
        <f>_xlfn.LET(_xlpm.inicio,MAX($D69,L$3),_xlpm.fin,MIN($E69,L$4),_xlpm.feriados,IF($H69="CO",FER_CO,FER_EC),_xlpm.dias,IF(_xlpm.inicio&gt;_xlpm.fin,0,NETWORKDAYS(_xlpm.inicio,_xlpm.fin,_xlpm.feriados)),_xlpm.factor,IF($G69="Probable",IF(Parametros!$B$6="Sí",1,0),1),IF(OR($A69="",$D69="",$E69=""),0,_xlpm.dias*$I69*_xlpm.factor))</f>
        <v/>
      </c>
      <c r="M69" s="33">
        <f>_xlfn.LET(_xlpm.inicio,MAX($D69,M$3),_xlpm.fin,MIN($E69,M$4),_xlpm.feriados,IF($H69="CO",FER_CO,FER_EC),_xlpm.dias,IF(_xlpm.inicio&gt;_xlpm.fin,0,NETWORKDAYS(_xlpm.inicio,_xlpm.fin,_xlpm.feriados)),_xlpm.factor,IF($G69="Probable",IF(Parametros!$B$6="Sí",1,0),1),IF(OR($A69="",$D69="",$E69=""),0,_xlpm.dias*$I69*_xlpm.factor))</f>
        <v/>
      </c>
      <c r="N69" s="33">
        <f>_xlfn.LET(_xlpm.inicio,MAX($D69,N$3),_xlpm.fin,MIN($E69,N$4),_xlpm.feriados,IF($H69="CO",FER_CO,FER_EC),_xlpm.dias,IF(_xlpm.inicio&gt;_xlpm.fin,0,NETWORKDAYS(_xlpm.inicio,_xlpm.fin,_xlpm.feriados)),_xlpm.factor,IF($G69="Probable",IF(Parametros!$B$6="Sí",1,0),1),IF(OR($A69="",$D69="",$E69=""),0,_xlpm.dias*$I69*_xlpm.factor))</f>
        <v/>
      </c>
      <c r="O69" s="33">
        <f>_xlfn.LET(_xlpm.inicio,MAX($D69,O$3),_xlpm.fin,MIN($E69,O$4),_xlpm.feriados,IF($H69="CO",FER_CO,FER_EC),_xlpm.dias,IF(_xlpm.inicio&gt;_xlpm.fin,0,NETWORKDAYS(_xlpm.inicio,_xlpm.fin,_xlpm.feriados)),_xlpm.factor,IF($G69="Probable",IF(Parametros!$B$6="Sí",1,0),1),IF(OR($A69="",$D69="",$E69=""),0,_xlpm.dias*$I69*_xlpm.factor))</f>
        <v/>
      </c>
      <c r="P69" s="34">
        <f>_xlfn.LET(_xlpm.horas,J69,_xlpm.feriados,IF($H69="CO",FER_CO,FER_EC),_xlpm.capacidad,NETWORKDAYS(J$3,J$4,_xlpm.feriados)*INDEX(Consultores!$C$6:$C$65,MATCH($A69,Consultores!$A$6:$A$65,0)),IF(_xlpm.horas=0,"",IFERROR(_xlpm.horas/_xlpm.capacidad,"")))</f>
        <v/>
      </c>
      <c r="Q69" s="34">
        <f>_xlfn.LET(_xlpm.horas,K69,_xlpm.feriados,IF($H69="CO",FER_CO,FER_EC),_xlpm.capacidad,NETWORKDAYS(K$3,K$4,_xlpm.feriados)*INDEX(Consultores!$C$6:$C$65,MATCH($A69,Consultores!$A$6:$A$65,0)),IF(_xlpm.horas=0,"",IFERROR(_xlpm.horas/_xlpm.capacidad,"")))</f>
        <v/>
      </c>
      <c r="R69" s="34">
        <f>_xlfn.LET(_xlpm.horas,L69,_xlpm.feriados,IF($H69="CO",FER_CO,FER_EC),_xlpm.capacidad,NETWORKDAYS(L$3,L$4,_xlpm.feriados)*INDEX(Consultores!$C$6:$C$65,MATCH($A69,Consultores!$A$6:$A$65,0)),IF(_xlpm.horas=0,"",IFERROR(_xlpm.horas/_xlpm.capacidad,"")))</f>
        <v/>
      </c>
      <c r="S69" s="34">
        <f>_xlfn.LET(_xlpm.horas,M69,_xlpm.feriados,IF($H69="CO",FER_CO,FER_EC),_xlpm.capacidad,NETWORKDAYS(M$3,M$4,_xlpm.feriados)*INDEX(Consultores!$C$6:$C$65,MATCH($A69,Consultores!$A$6:$A$65,0)),IF(_xlpm.horas=0,"",IFERROR(_xlpm.horas/_xlpm.capacidad,"")))</f>
        <v/>
      </c>
      <c r="T69" s="34">
        <f>_xlfn.LET(_xlpm.horas,N69,_xlpm.feriados,IF($H69="CO",FER_CO,FER_EC),_xlpm.capacidad,NETWORKDAYS(N$3,N$4,_xlpm.feriados)*INDEX(Consultores!$C$6:$C$65,MATCH($A69,Consultores!$A$6:$A$65,0)),IF(_xlpm.horas=0,"",IFERROR(_xlpm.horas/_xlpm.capacidad,"")))</f>
        <v/>
      </c>
      <c r="U69" s="34">
        <f>_xlfn.LET(_xlpm.horas,O69,_xlpm.feriados,IF($H69="CO",FER_CO,FER_EC),_xlpm.capacidad,NETWORKDAYS(O$3,O$4,_xlpm.feriados)*INDEX(Consultores!$C$6:$C$65,MATCH($A69,Consultores!$A$6:$A$65,0)),IF(_xlpm.horas=0,"",IFERROR(_xlpm.horas/_xlpm.capacidad,"")))</f>
        <v/>
      </c>
    </row>
    <row r="70">
      <c r="A70" s="25" t="n"/>
      <c r="B70" s="25" t="n"/>
      <c r="C70" s="25" t="n"/>
      <c r="D70" s="30" t="n"/>
      <c r="E70" s="30" t="n"/>
      <c r="F70" s="26" t="n"/>
      <c r="G70" s="25" t="n"/>
      <c r="H70" s="31">
        <f>IF($A70="","",IFERROR(INDEX(Consultores!$B$6:$B$65,MATCH($A70,Consultores!$A$6:$A$65,0)),"No existe"))</f>
        <v/>
      </c>
      <c r="I70" s="32">
        <f>IF($F70="",0,$F70/5)</f>
        <v/>
      </c>
      <c r="J70" s="33">
        <f>_xlfn.LET(_xlpm.inicio,MAX($D70,J$3),_xlpm.fin,MIN($E70,J$4),_xlpm.feriados,IF($H70="CO",FER_CO,FER_EC),_xlpm.dias,IF(_xlpm.inicio&gt;_xlpm.fin,0,NETWORKDAYS(_xlpm.inicio,_xlpm.fin,_xlpm.feriados)),_xlpm.factor,IF($G70="Probable",IF(Parametros!$B$6="Sí",1,0),1),IF(OR($A70="",$D70="",$E70=""),0,_xlpm.dias*$I70*_xlpm.factor))</f>
        <v/>
      </c>
      <c r="K70" s="33">
        <f>_xlfn.LET(_xlpm.inicio,MAX($D70,K$3),_xlpm.fin,MIN($E70,K$4),_xlpm.feriados,IF($H70="CO",FER_CO,FER_EC),_xlpm.dias,IF(_xlpm.inicio&gt;_xlpm.fin,0,NETWORKDAYS(_xlpm.inicio,_xlpm.fin,_xlpm.feriados)),_xlpm.factor,IF($G70="Probable",IF(Parametros!$B$6="Sí",1,0),1),IF(OR($A70="",$D70="",$E70=""),0,_xlpm.dias*$I70*_xlpm.factor))</f>
        <v/>
      </c>
      <c r="L70" s="33">
        <f>_xlfn.LET(_xlpm.inicio,MAX($D70,L$3),_xlpm.fin,MIN($E70,L$4),_xlpm.feriados,IF($H70="CO",FER_CO,FER_EC),_xlpm.dias,IF(_xlpm.inicio&gt;_xlpm.fin,0,NETWORKDAYS(_xlpm.inicio,_xlpm.fin,_xlpm.feriados)),_xlpm.factor,IF($G70="Probable",IF(Parametros!$B$6="Sí",1,0),1),IF(OR($A70="",$D70="",$E70=""),0,_xlpm.dias*$I70*_xlpm.factor))</f>
        <v/>
      </c>
      <c r="M70" s="33">
        <f>_xlfn.LET(_xlpm.inicio,MAX($D70,M$3),_xlpm.fin,MIN($E70,M$4),_xlpm.feriados,IF($H70="CO",FER_CO,FER_EC),_xlpm.dias,IF(_xlpm.inicio&gt;_xlpm.fin,0,NETWORKDAYS(_xlpm.inicio,_xlpm.fin,_xlpm.feriados)),_xlpm.factor,IF($G70="Probable",IF(Parametros!$B$6="Sí",1,0),1),IF(OR($A70="",$D70="",$E70=""),0,_xlpm.dias*$I70*_xlpm.factor))</f>
        <v/>
      </c>
      <c r="N70" s="33">
        <f>_xlfn.LET(_xlpm.inicio,MAX($D70,N$3),_xlpm.fin,MIN($E70,N$4),_xlpm.feriados,IF($H70="CO",FER_CO,FER_EC),_xlpm.dias,IF(_xlpm.inicio&gt;_xlpm.fin,0,NETWORKDAYS(_xlpm.inicio,_xlpm.fin,_xlpm.feriados)),_xlpm.factor,IF($G70="Probable",IF(Parametros!$B$6="Sí",1,0),1),IF(OR($A70="",$D70="",$E70=""),0,_xlpm.dias*$I70*_xlpm.factor))</f>
        <v/>
      </c>
      <c r="O70" s="33">
        <f>_xlfn.LET(_xlpm.inicio,MAX($D70,O$3),_xlpm.fin,MIN($E70,O$4),_xlpm.feriados,IF($H70="CO",FER_CO,FER_EC),_xlpm.dias,IF(_xlpm.inicio&gt;_xlpm.fin,0,NETWORKDAYS(_xlpm.inicio,_xlpm.fin,_xlpm.feriados)),_xlpm.factor,IF($G70="Probable",IF(Parametros!$B$6="Sí",1,0),1),IF(OR($A70="",$D70="",$E70=""),0,_xlpm.dias*$I70*_xlpm.factor))</f>
        <v/>
      </c>
      <c r="P70" s="34">
        <f>_xlfn.LET(_xlpm.horas,J70,_xlpm.feriados,IF($H70="CO",FER_CO,FER_EC),_xlpm.capacidad,NETWORKDAYS(J$3,J$4,_xlpm.feriados)*INDEX(Consultores!$C$6:$C$65,MATCH($A70,Consultores!$A$6:$A$65,0)),IF(_xlpm.horas=0,"",IFERROR(_xlpm.horas/_xlpm.capacidad,"")))</f>
        <v/>
      </c>
      <c r="Q70" s="34">
        <f>_xlfn.LET(_xlpm.horas,K70,_xlpm.feriados,IF($H70="CO",FER_CO,FER_EC),_xlpm.capacidad,NETWORKDAYS(K$3,K$4,_xlpm.feriados)*INDEX(Consultores!$C$6:$C$65,MATCH($A70,Consultores!$A$6:$A$65,0)),IF(_xlpm.horas=0,"",IFERROR(_xlpm.horas/_xlpm.capacidad,"")))</f>
        <v/>
      </c>
      <c r="R70" s="34">
        <f>_xlfn.LET(_xlpm.horas,L70,_xlpm.feriados,IF($H70="CO",FER_CO,FER_EC),_xlpm.capacidad,NETWORKDAYS(L$3,L$4,_xlpm.feriados)*INDEX(Consultores!$C$6:$C$65,MATCH($A70,Consultores!$A$6:$A$65,0)),IF(_xlpm.horas=0,"",IFERROR(_xlpm.horas/_xlpm.capacidad,"")))</f>
        <v/>
      </c>
      <c r="S70" s="34">
        <f>_xlfn.LET(_xlpm.horas,M70,_xlpm.feriados,IF($H70="CO",FER_CO,FER_EC),_xlpm.capacidad,NETWORKDAYS(M$3,M$4,_xlpm.feriados)*INDEX(Consultores!$C$6:$C$65,MATCH($A70,Consultores!$A$6:$A$65,0)),IF(_xlpm.horas=0,"",IFERROR(_xlpm.horas/_xlpm.capacidad,"")))</f>
        <v/>
      </c>
      <c r="T70" s="34">
        <f>_xlfn.LET(_xlpm.horas,N70,_xlpm.feriados,IF($H70="CO",FER_CO,FER_EC),_xlpm.capacidad,NETWORKDAYS(N$3,N$4,_xlpm.feriados)*INDEX(Consultores!$C$6:$C$65,MATCH($A70,Consultores!$A$6:$A$65,0)),IF(_xlpm.horas=0,"",IFERROR(_xlpm.horas/_xlpm.capacidad,"")))</f>
        <v/>
      </c>
      <c r="U70" s="34">
        <f>_xlfn.LET(_xlpm.horas,O70,_xlpm.feriados,IF($H70="CO",FER_CO,FER_EC),_xlpm.capacidad,NETWORKDAYS(O$3,O$4,_xlpm.feriados)*INDEX(Consultores!$C$6:$C$65,MATCH($A70,Consultores!$A$6:$A$65,0)),IF(_xlpm.horas=0,"",IFERROR(_xlpm.horas/_xlpm.capacidad,"")))</f>
        <v/>
      </c>
    </row>
    <row r="71">
      <c r="A71" s="25" t="n"/>
      <c r="B71" s="25" t="n"/>
      <c r="C71" s="25" t="n"/>
      <c r="D71" s="30" t="n"/>
      <c r="E71" s="30" t="n"/>
      <c r="F71" s="26" t="n"/>
      <c r="G71" s="25" t="n"/>
      <c r="H71" s="31">
        <f>IF($A71="","",IFERROR(INDEX(Consultores!$B$6:$B$65,MATCH($A71,Consultores!$A$6:$A$65,0)),"No existe"))</f>
        <v/>
      </c>
      <c r="I71" s="32">
        <f>IF($F71="",0,$F71/5)</f>
        <v/>
      </c>
      <c r="J71" s="33">
        <f>_xlfn.LET(_xlpm.inicio,MAX($D71,J$3),_xlpm.fin,MIN($E71,J$4),_xlpm.feriados,IF($H71="CO",FER_CO,FER_EC),_xlpm.dias,IF(_xlpm.inicio&gt;_xlpm.fin,0,NETWORKDAYS(_xlpm.inicio,_xlpm.fin,_xlpm.feriados)),_xlpm.factor,IF($G71="Probable",IF(Parametros!$B$6="Sí",1,0),1),IF(OR($A71="",$D71="",$E71=""),0,_xlpm.dias*$I71*_xlpm.factor))</f>
        <v/>
      </c>
      <c r="K71" s="33">
        <f>_xlfn.LET(_xlpm.inicio,MAX($D71,K$3),_xlpm.fin,MIN($E71,K$4),_xlpm.feriados,IF($H71="CO",FER_CO,FER_EC),_xlpm.dias,IF(_xlpm.inicio&gt;_xlpm.fin,0,NETWORKDAYS(_xlpm.inicio,_xlpm.fin,_xlpm.feriados)),_xlpm.factor,IF($G71="Probable",IF(Parametros!$B$6="Sí",1,0),1),IF(OR($A71="",$D71="",$E71=""),0,_xlpm.dias*$I71*_xlpm.factor))</f>
        <v/>
      </c>
      <c r="L71" s="33">
        <f>_xlfn.LET(_xlpm.inicio,MAX($D71,L$3),_xlpm.fin,MIN($E71,L$4),_xlpm.feriados,IF($H71="CO",FER_CO,FER_EC),_xlpm.dias,IF(_xlpm.inicio&gt;_xlpm.fin,0,NETWORKDAYS(_xlpm.inicio,_xlpm.fin,_xlpm.feriados)),_xlpm.factor,IF($G71="Probable",IF(Parametros!$B$6="Sí",1,0),1),IF(OR($A71="",$D71="",$E71=""),0,_xlpm.dias*$I71*_xlpm.factor))</f>
        <v/>
      </c>
      <c r="M71" s="33">
        <f>_xlfn.LET(_xlpm.inicio,MAX($D71,M$3),_xlpm.fin,MIN($E71,M$4),_xlpm.feriados,IF($H71="CO",FER_CO,FER_EC),_xlpm.dias,IF(_xlpm.inicio&gt;_xlpm.fin,0,NETWORKDAYS(_xlpm.inicio,_xlpm.fin,_xlpm.feriados)),_xlpm.factor,IF($G71="Probable",IF(Parametros!$B$6="Sí",1,0),1),IF(OR($A71="",$D71="",$E71=""),0,_xlpm.dias*$I71*_xlpm.factor))</f>
        <v/>
      </c>
      <c r="N71" s="33">
        <f>_xlfn.LET(_xlpm.inicio,MAX($D71,N$3),_xlpm.fin,MIN($E71,N$4),_xlpm.feriados,IF($H71="CO",FER_CO,FER_EC),_xlpm.dias,IF(_xlpm.inicio&gt;_xlpm.fin,0,NETWORKDAYS(_xlpm.inicio,_xlpm.fin,_xlpm.feriados)),_xlpm.factor,IF($G71="Probable",IF(Parametros!$B$6="Sí",1,0),1),IF(OR($A71="",$D71="",$E71=""),0,_xlpm.dias*$I71*_xlpm.factor))</f>
        <v/>
      </c>
      <c r="O71" s="33">
        <f>_xlfn.LET(_xlpm.inicio,MAX($D71,O$3),_xlpm.fin,MIN($E71,O$4),_xlpm.feriados,IF($H71="CO",FER_CO,FER_EC),_xlpm.dias,IF(_xlpm.inicio&gt;_xlpm.fin,0,NETWORKDAYS(_xlpm.inicio,_xlpm.fin,_xlpm.feriados)),_xlpm.factor,IF($G71="Probable",IF(Parametros!$B$6="Sí",1,0),1),IF(OR($A71="",$D71="",$E71=""),0,_xlpm.dias*$I71*_xlpm.factor))</f>
        <v/>
      </c>
      <c r="P71" s="34">
        <f>_xlfn.LET(_xlpm.horas,J71,_xlpm.feriados,IF($H71="CO",FER_CO,FER_EC),_xlpm.capacidad,NETWORKDAYS(J$3,J$4,_xlpm.feriados)*INDEX(Consultores!$C$6:$C$65,MATCH($A71,Consultores!$A$6:$A$65,0)),IF(_xlpm.horas=0,"",IFERROR(_xlpm.horas/_xlpm.capacidad,"")))</f>
        <v/>
      </c>
      <c r="Q71" s="34">
        <f>_xlfn.LET(_xlpm.horas,K71,_xlpm.feriados,IF($H71="CO",FER_CO,FER_EC),_xlpm.capacidad,NETWORKDAYS(K$3,K$4,_xlpm.feriados)*INDEX(Consultores!$C$6:$C$65,MATCH($A71,Consultores!$A$6:$A$65,0)),IF(_xlpm.horas=0,"",IFERROR(_xlpm.horas/_xlpm.capacidad,"")))</f>
        <v/>
      </c>
      <c r="R71" s="34">
        <f>_xlfn.LET(_xlpm.horas,L71,_xlpm.feriados,IF($H71="CO",FER_CO,FER_EC),_xlpm.capacidad,NETWORKDAYS(L$3,L$4,_xlpm.feriados)*INDEX(Consultores!$C$6:$C$65,MATCH($A71,Consultores!$A$6:$A$65,0)),IF(_xlpm.horas=0,"",IFERROR(_xlpm.horas/_xlpm.capacidad,"")))</f>
        <v/>
      </c>
      <c r="S71" s="34">
        <f>_xlfn.LET(_xlpm.horas,M71,_xlpm.feriados,IF($H71="CO",FER_CO,FER_EC),_xlpm.capacidad,NETWORKDAYS(M$3,M$4,_xlpm.feriados)*INDEX(Consultores!$C$6:$C$65,MATCH($A71,Consultores!$A$6:$A$65,0)),IF(_xlpm.horas=0,"",IFERROR(_xlpm.horas/_xlpm.capacidad,"")))</f>
        <v/>
      </c>
      <c r="T71" s="34">
        <f>_xlfn.LET(_xlpm.horas,N71,_xlpm.feriados,IF($H71="CO",FER_CO,FER_EC),_xlpm.capacidad,NETWORKDAYS(N$3,N$4,_xlpm.feriados)*INDEX(Consultores!$C$6:$C$65,MATCH($A71,Consultores!$A$6:$A$65,0)),IF(_xlpm.horas=0,"",IFERROR(_xlpm.horas/_xlpm.capacidad,"")))</f>
        <v/>
      </c>
      <c r="U71" s="34">
        <f>_xlfn.LET(_xlpm.horas,O71,_xlpm.feriados,IF($H71="CO",FER_CO,FER_EC),_xlpm.capacidad,NETWORKDAYS(O$3,O$4,_xlpm.feriados)*INDEX(Consultores!$C$6:$C$65,MATCH($A71,Consultores!$A$6:$A$65,0)),IF(_xlpm.horas=0,"",IFERROR(_xlpm.horas/_xlpm.capacidad,"")))</f>
        <v/>
      </c>
    </row>
    <row r="72">
      <c r="A72" s="25" t="n"/>
      <c r="B72" s="25" t="n"/>
      <c r="C72" s="25" t="n"/>
      <c r="D72" s="30" t="n"/>
      <c r="E72" s="30" t="n"/>
      <c r="F72" s="26" t="n"/>
      <c r="G72" s="25" t="n"/>
      <c r="H72" s="31">
        <f>IF($A72="","",IFERROR(INDEX(Consultores!$B$6:$B$65,MATCH($A72,Consultores!$A$6:$A$65,0)),"No existe"))</f>
        <v/>
      </c>
      <c r="I72" s="32">
        <f>IF($F72="",0,$F72/5)</f>
        <v/>
      </c>
      <c r="J72" s="33">
        <f>_xlfn.LET(_xlpm.inicio,MAX($D72,J$3),_xlpm.fin,MIN($E72,J$4),_xlpm.feriados,IF($H72="CO",FER_CO,FER_EC),_xlpm.dias,IF(_xlpm.inicio&gt;_xlpm.fin,0,NETWORKDAYS(_xlpm.inicio,_xlpm.fin,_xlpm.feriados)),_xlpm.factor,IF($G72="Probable",IF(Parametros!$B$6="Sí",1,0),1),IF(OR($A72="",$D72="",$E72=""),0,_xlpm.dias*$I72*_xlpm.factor))</f>
        <v/>
      </c>
      <c r="K72" s="33">
        <f>_xlfn.LET(_xlpm.inicio,MAX($D72,K$3),_xlpm.fin,MIN($E72,K$4),_xlpm.feriados,IF($H72="CO",FER_CO,FER_EC),_xlpm.dias,IF(_xlpm.inicio&gt;_xlpm.fin,0,NETWORKDAYS(_xlpm.inicio,_xlpm.fin,_xlpm.feriados)),_xlpm.factor,IF($G72="Probable",IF(Parametros!$B$6="Sí",1,0),1),IF(OR($A72="",$D72="",$E72=""),0,_xlpm.dias*$I72*_xlpm.factor))</f>
        <v/>
      </c>
      <c r="L72" s="33">
        <f>_xlfn.LET(_xlpm.inicio,MAX($D72,L$3),_xlpm.fin,MIN($E72,L$4),_xlpm.feriados,IF($H72="CO",FER_CO,FER_EC),_xlpm.dias,IF(_xlpm.inicio&gt;_xlpm.fin,0,NETWORKDAYS(_xlpm.inicio,_xlpm.fin,_xlpm.feriados)),_xlpm.factor,IF($G72="Probable",IF(Parametros!$B$6="Sí",1,0),1),IF(OR($A72="",$D72="",$E72=""),0,_xlpm.dias*$I72*_xlpm.factor))</f>
        <v/>
      </c>
      <c r="M72" s="33">
        <f>_xlfn.LET(_xlpm.inicio,MAX($D72,M$3),_xlpm.fin,MIN($E72,M$4),_xlpm.feriados,IF($H72="CO",FER_CO,FER_EC),_xlpm.dias,IF(_xlpm.inicio&gt;_xlpm.fin,0,NETWORKDAYS(_xlpm.inicio,_xlpm.fin,_xlpm.feriados)),_xlpm.factor,IF($G72="Probable",IF(Parametros!$B$6="Sí",1,0),1),IF(OR($A72="",$D72="",$E72=""),0,_xlpm.dias*$I72*_xlpm.factor))</f>
        <v/>
      </c>
      <c r="N72" s="33">
        <f>_xlfn.LET(_xlpm.inicio,MAX($D72,N$3),_xlpm.fin,MIN($E72,N$4),_xlpm.feriados,IF($H72="CO",FER_CO,FER_EC),_xlpm.dias,IF(_xlpm.inicio&gt;_xlpm.fin,0,NETWORKDAYS(_xlpm.inicio,_xlpm.fin,_xlpm.feriados)),_xlpm.factor,IF($G72="Probable",IF(Parametros!$B$6="Sí",1,0),1),IF(OR($A72="",$D72="",$E72=""),0,_xlpm.dias*$I72*_xlpm.factor))</f>
        <v/>
      </c>
      <c r="O72" s="33">
        <f>_xlfn.LET(_xlpm.inicio,MAX($D72,O$3),_xlpm.fin,MIN($E72,O$4),_xlpm.feriados,IF($H72="CO",FER_CO,FER_EC),_xlpm.dias,IF(_xlpm.inicio&gt;_xlpm.fin,0,NETWORKDAYS(_xlpm.inicio,_xlpm.fin,_xlpm.feriados)),_xlpm.factor,IF($G72="Probable",IF(Parametros!$B$6="Sí",1,0),1),IF(OR($A72="",$D72="",$E72=""),0,_xlpm.dias*$I72*_xlpm.factor))</f>
        <v/>
      </c>
      <c r="P72" s="34">
        <f>_xlfn.LET(_xlpm.horas,J72,_xlpm.feriados,IF($H72="CO",FER_CO,FER_EC),_xlpm.capacidad,NETWORKDAYS(J$3,J$4,_xlpm.feriados)*INDEX(Consultores!$C$6:$C$65,MATCH($A72,Consultores!$A$6:$A$65,0)),IF(_xlpm.horas=0,"",IFERROR(_xlpm.horas/_xlpm.capacidad,"")))</f>
        <v/>
      </c>
      <c r="Q72" s="34">
        <f>_xlfn.LET(_xlpm.horas,K72,_xlpm.feriados,IF($H72="CO",FER_CO,FER_EC),_xlpm.capacidad,NETWORKDAYS(K$3,K$4,_xlpm.feriados)*INDEX(Consultores!$C$6:$C$65,MATCH($A72,Consultores!$A$6:$A$65,0)),IF(_xlpm.horas=0,"",IFERROR(_xlpm.horas/_xlpm.capacidad,"")))</f>
        <v/>
      </c>
      <c r="R72" s="34">
        <f>_xlfn.LET(_xlpm.horas,L72,_xlpm.feriados,IF($H72="CO",FER_CO,FER_EC),_xlpm.capacidad,NETWORKDAYS(L$3,L$4,_xlpm.feriados)*INDEX(Consultores!$C$6:$C$65,MATCH($A72,Consultores!$A$6:$A$65,0)),IF(_xlpm.horas=0,"",IFERROR(_xlpm.horas/_xlpm.capacidad,"")))</f>
        <v/>
      </c>
      <c r="S72" s="34">
        <f>_xlfn.LET(_xlpm.horas,M72,_xlpm.feriados,IF($H72="CO",FER_CO,FER_EC),_xlpm.capacidad,NETWORKDAYS(M$3,M$4,_xlpm.feriados)*INDEX(Consultores!$C$6:$C$65,MATCH($A72,Consultores!$A$6:$A$65,0)),IF(_xlpm.horas=0,"",IFERROR(_xlpm.horas/_xlpm.capacidad,"")))</f>
        <v/>
      </c>
      <c r="T72" s="34">
        <f>_xlfn.LET(_xlpm.horas,N72,_xlpm.feriados,IF($H72="CO",FER_CO,FER_EC),_xlpm.capacidad,NETWORKDAYS(N$3,N$4,_xlpm.feriados)*INDEX(Consultores!$C$6:$C$65,MATCH($A72,Consultores!$A$6:$A$65,0)),IF(_xlpm.horas=0,"",IFERROR(_xlpm.horas/_xlpm.capacidad,"")))</f>
        <v/>
      </c>
      <c r="U72" s="34">
        <f>_xlfn.LET(_xlpm.horas,O72,_xlpm.feriados,IF($H72="CO",FER_CO,FER_EC),_xlpm.capacidad,NETWORKDAYS(O$3,O$4,_xlpm.feriados)*INDEX(Consultores!$C$6:$C$65,MATCH($A72,Consultores!$A$6:$A$65,0)),IF(_xlpm.horas=0,"",IFERROR(_xlpm.horas/_xlpm.capacidad,"")))</f>
        <v/>
      </c>
    </row>
    <row r="73">
      <c r="A73" s="25" t="n"/>
      <c r="B73" s="25" t="n"/>
      <c r="C73" s="25" t="n"/>
      <c r="D73" s="30" t="n"/>
      <c r="E73" s="30" t="n"/>
      <c r="F73" s="26" t="n"/>
      <c r="G73" s="25" t="n"/>
      <c r="H73" s="31">
        <f>IF($A73="","",IFERROR(INDEX(Consultores!$B$6:$B$65,MATCH($A73,Consultores!$A$6:$A$65,0)),"No existe"))</f>
        <v/>
      </c>
      <c r="I73" s="32">
        <f>IF($F73="",0,$F73/5)</f>
        <v/>
      </c>
      <c r="J73" s="33">
        <f>_xlfn.LET(_xlpm.inicio,MAX($D73,J$3),_xlpm.fin,MIN($E73,J$4),_xlpm.feriados,IF($H73="CO",FER_CO,FER_EC),_xlpm.dias,IF(_xlpm.inicio&gt;_xlpm.fin,0,NETWORKDAYS(_xlpm.inicio,_xlpm.fin,_xlpm.feriados)),_xlpm.factor,IF($G73="Probable",IF(Parametros!$B$6="Sí",1,0),1),IF(OR($A73="",$D73="",$E73=""),0,_xlpm.dias*$I73*_xlpm.factor))</f>
        <v/>
      </c>
      <c r="K73" s="33">
        <f>_xlfn.LET(_xlpm.inicio,MAX($D73,K$3),_xlpm.fin,MIN($E73,K$4),_xlpm.feriados,IF($H73="CO",FER_CO,FER_EC),_xlpm.dias,IF(_xlpm.inicio&gt;_xlpm.fin,0,NETWORKDAYS(_xlpm.inicio,_xlpm.fin,_xlpm.feriados)),_xlpm.factor,IF($G73="Probable",IF(Parametros!$B$6="Sí",1,0),1),IF(OR($A73="",$D73="",$E73=""),0,_xlpm.dias*$I73*_xlpm.factor))</f>
        <v/>
      </c>
      <c r="L73" s="33">
        <f>_xlfn.LET(_xlpm.inicio,MAX($D73,L$3),_xlpm.fin,MIN($E73,L$4),_xlpm.feriados,IF($H73="CO",FER_CO,FER_EC),_xlpm.dias,IF(_xlpm.inicio&gt;_xlpm.fin,0,NETWORKDAYS(_xlpm.inicio,_xlpm.fin,_xlpm.feriados)),_xlpm.factor,IF($G73="Probable",IF(Parametros!$B$6="Sí",1,0),1),IF(OR($A73="",$D73="",$E73=""),0,_xlpm.dias*$I73*_xlpm.factor))</f>
        <v/>
      </c>
      <c r="M73" s="33">
        <f>_xlfn.LET(_xlpm.inicio,MAX($D73,M$3),_xlpm.fin,MIN($E73,M$4),_xlpm.feriados,IF($H73="CO",FER_CO,FER_EC),_xlpm.dias,IF(_xlpm.inicio&gt;_xlpm.fin,0,NETWORKDAYS(_xlpm.inicio,_xlpm.fin,_xlpm.feriados)),_xlpm.factor,IF($G73="Probable",IF(Parametros!$B$6="Sí",1,0),1),IF(OR($A73="",$D73="",$E73=""),0,_xlpm.dias*$I73*_xlpm.factor))</f>
        <v/>
      </c>
      <c r="N73" s="33">
        <f>_xlfn.LET(_xlpm.inicio,MAX($D73,N$3),_xlpm.fin,MIN($E73,N$4),_xlpm.feriados,IF($H73="CO",FER_CO,FER_EC),_xlpm.dias,IF(_xlpm.inicio&gt;_xlpm.fin,0,NETWORKDAYS(_xlpm.inicio,_xlpm.fin,_xlpm.feriados)),_xlpm.factor,IF($G73="Probable",IF(Parametros!$B$6="Sí",1,0),1),IF(OR($A73="",$D73="",$E73=""),0,_xlpm.dias*$I73*_xlpm.factor))</f>
        <v/>
      </c>
      <c r="O73" s="33">
        <f>_xlfn.LET(_xlpm.inicio,MAX($D73,O$3),_xlpm.fin,MIN($E73,O$4),_xlpm.feriados,IF($H73="CO",FER_CO,FER_EC),_xlpm.dias,IF(_xlpm.inicio&gt;_xlpm.fin,0,NETWORKDAYS(_xlpm.inicio,_xlpm.fin,_xlpm.feriados)),_xlpm.factor,IF($G73="Probable",IF(Parametros!$B$6="Sí",1,0),1),IF(OR($A73="",$D73="",$E73=""),0,_xlpm.dias*$I73*_xlpm.factor))</f>
        <v/>
      </c>
      <c r="P73" s="34">
        <f>_xlfn.LET(_xlpm.horas,J73,_xlpm.feriados,IF($H73="CO",FER_CO,FER_EC),_xlpm.capacidad,NETWORKDAYS(J$3,J$4,_xlpm.feriados)*INDEX(Consultores!$C$6:$C$65,MATCH($A73,Consultores!$A$6:$A$65,0)),IF(_xlpm.horas=0,"",IFERROR(_xlpm.horas/_xlpm.capacidad,"")))</f>
        <v/>
      </c>
      <c r="Q73" s="34">
        <f>_xlfn.LET(_xlpm.horas,K73,_xlpm.feriados,IF($H73="CO",FER_CO,FER_EC),_xlpm.capacidad,NETWORKDAYS(K$3,K$4,_xlpm.feriados)*INDEX(Consultores!$C$6:$C$65,MATCH($A73,Consultores!$A$6:$A$65,0)),IF(_xlpm.horas=0,"",IFERROR(_xlpm.horas/_xlpm.capacidad,"")))</f>
        <v/>
      </c>
      <c r="R73" s="34">
        <f>_xlfn.LET(_xlpm.horas,L73,_xlpm.feriados,IF($H73="CO",FER_CO,FER_EC),_xlpm.capacidad,NETWORKDAYS(L$3,L$4,_xlpm.feriados)*INDEX(Consultores!$C$6:$C$65,MATCH($A73,Consultores!$A$6:$A$65,0)),IF(_xlpm.horas=0,"",IFERROR(_xlpm.horas/_xlpm.capacidad,"")))</f>
        <v/>
      </c>
      <c r="S73" s="34">
        <f>_xlfn.LET(_xlpm.horas,M73,_xlpm.feriados,IF($H73="CO",FER_CO,FER_EC),_xlpm.capacidad,NETWORKDAYS(M$3,M$4,_xlpm.feriados)*INDEX(Consultores!$C$6:$C$65,MATCH($A73,Consultores!$A$6:$A$65,0)),IF(_xlpm.horas=0,"",IFERROR(_xlpm.horas/_xlpm.capacidad,"")))</f>
        <v/>
      </c>
      <c r="T73" s="34">
        <f>_xlfn.LET(_xlpm.horas,N73,_xlpm.feriados,IF($H73="CO",FER_CO,FER_EC),_xlpm.capacidad,NETWORKDAYS(N$3,N$4,_xlpm.feriados)*INDEX(Consultores!$C$6:$C$65,MATCH($A73,Consultores!$A$6:$A$65,0)),IF(_xlpm.horas=0,"",IFERROR(_xlpm.horas/_xlpm.capacidad,"")))</f>
        <v/>
      </c>
      <c r="U73" s="34">
        <f>_xlfn.LET(_xlpm.horas,O73,_xlpm.feriados,IF($H73="CO",FER_CO,FER_EC),_xlpm.capacidad,NETWORKDAYS(O$3,O$4,_xlpm.feriados)*INDEX(Consultores!$C$6:$C$65,MATCH($A73,Consultores!$A$6:$A$65,0)),IF(_xlpm.horas=0,"",IFERROR(_xlpm.horas/_xlpm.capacidad,"")))</f>
        <v/>
      </c>
    </row>
    <row r="74">
      <c r="A74" s="25" t="n"/>
      <c r="B74" s="25" t="n"/>
      <c r="C74" s="25" t="n"/>
      <c r="D74" s="30" t="n"/>
      <c r="E74" s="30" t="n"/>
      <c r="F74" s="26" t="n"/>
      <c r="G74" s="25" t="n"/>
      <c r="H74" s="31">
        <f>IF($A74="","",IFERROR(INDEX(Consultores!$B$6:$B$65,MATCH($A74,Consultores!$A$6:$A$65,0)),"No existe"))</f>
        <v/>
      </c>
      <c r="I74" s="32">
        <f>IF($F74="",0,$F74/5)</f>
        <v/>
      </c>
      <c r="J74" s="33">
        <f>_xlfn.LET(_xlpm.inicio,MAX($D74,J$3),_xlpm.fin,MIN($E74,J$4),_xlpm.feriados,IF($H74="CO",FER_CO,FER_EC),_xlpm.dias,IF(_xlpm.inicio&gt;_xlpm.fin,0,NETWORKDAYS(_xlpm.inicio,_xlpm.fin,_xlpm.feriados)),_xlpm.factor,IF($G74="Probable",IF(Parametros!$B$6="Sí",1,0),1),IF(OR($A74="",$D74="",$E74=""),0,_xlpm.dias*$I74*_xlpm.factor))</f>
        <v/>
      </c>
      <c r="K74" s="33">
        <f>_xlfn.LET(_xlpm.inicio,MAX($D74,K$3),_xlpm.fin,MIN($E74,K$4),_xlpm.feriados,IF($H74="CO",FER_CO,FER_EC),_xlpm.dias,IF(_xlpm.inicio&gt;_xlpm.fin,0,NETWORKDAYS(_xlpm.inicio,_xlpm.fin,_xlpm.feriados)),_xlpm.factor,IF($G74="Probable",IF(Parametros!$B$6="Sí",1,0),1),IF(OR($A74="",$D74="",$E74=""),0,_xlpm.dias*$I74*_xlpm.factor))</f>
        <v/>
      </c>
      <c r="L74" s="33">
        <f>_xlfn.LET(_xlpm.inicio,MAX($D74,L$3),_xlpm.fin,MIN($E74,L$4),_xlpm.feriados,IF($H74="CO",FER_CO,FER_EC),_xlpm.dias,IF(_xlpm.inicio&gt;_xlpm.fin,0,NETWORKDAYS(_xlpm.inicio,_xlpm.fin,_xlpm.feriados)),_xlpm.factor,IF($G74="Probable",IF(Parametros!$B$6="Sí",1,0),1),IF(OR($A74="",$D74="",$E74=""),0,_xlpm.dias*$I74*_xlpm.factor))</f>
        <v/>
      </c>
      <c r="M74" s="33">
        <f>_xlfn.LET(_xlpm.inicio,MAX($D74,M$3),_xlpm.fin,MIN($E74,M$4),_xlpm.feriados,IF($H74="CO",FER_CO,FER_EC),_xlpm.dias,IF(_xlpm.inicio&gt;_xlpm.fin,0,NETWORKDAYS(_xlpm.inicio,_xlpm.fin,_xlpm.feriados)),_xlpm.factor,IF($G74="Probable",IF(Parametros!$B$6="Sí",1,0),1),IF(OR($A74="",$D74="",$E74=""),0,_xlpm.dias*$I74*_xlpm.factor))</f>
        <v/>
      </c>
      <c r="N74" s="33">
        <f>_xlfn.LET(_xlpm.inicio,MAX($D74,N$3),_xlpm.fin,MIN($E74,N$4),_xlpm.feriados,IF($H74="CO",FER_CO,FER_EC),_xlpm.dias,IF(_xlpm.inicio&gt;_xlpm.fin,0,NETWORKDAYS(_xlpm.inicio,_xlpm.fin,_xlpm.feriados)),_xlpm.factor,IF($G74="Probable",IF(Parametros!$B$6="Sí",1,0),1),IF(OR($A74="",$D74="",$E74=""),0,_xlpm.dias*$I74*_xlpm.factor))</f>
        <v/>
      </c>
      <c r="O74" s="33">
        <f>_xlfn.LET(_xlpm.inicio,MAX($D74,O$3),_xlpm.fin,MIN($E74,O$4),_xlpm.feriados,IF($H74="CO",FER_CO,FER_EC),_xlpm.dias,IF(_xlpm.inicio&gt;_xlpm.fin,0,NETWORKDAYS(_xlpm.inicio,_xlpm.fin,_xlpm.feriados)),_xlpm.factor,IF($G74="Probable",IF(Parametros!$B$6="Sí",1,0),1),IF(OR($A74="",$D74="",$E74=""),0,_xlpm.dias*$I74*_xlpm.factor))</f>
        <v/>
      </c>
      <c r="P74" s="34">
        <f>_xlfn.LET(_xlpm.horas,J74,_xlpm.feriados,IF($H74="CO",FER_CO,FER_EC),_xlpm.capacidad,NETWORKDAYS(J$3,J$4,_xlpm.feriados)*INDEX(Consultores!$C$6:$C$65,MATCH($A74,Consultores!$A$6:$A$65,0)),IF(_xlpm.horas=0,"",IFERROR(_xlpm.horas/_xlpm.capacidad,"")))</f>
        <v/>
      </c>
      <c r="Q74" s="34">
        <f>_xlfn.LET(_xlpm.horas,K74,_xlpm.feriados,IF($H74="CO",FER_CO,FER_EC),_xlpm.capacidad,NETWORKDAYS(K$3,K$4,_xlpm.feriados)*INDEX(Consultores!$C$6:$C$65,MATCH($A74,Consultores!$A$6:$A$65,0)),IF(_xlpm.horas=0,"",IFERROR(_xlpm.horas/_xlpm.capacidad,"")))</f>
        <v/>
      </c>
      <c r="R74" s="34">
        <f>_xlfn.LET(_xlpm.horas,L74,_xlpm.feriados,IF($H74="CO",FER_CO,FER_EC),_xlpm.capacidad,NETWORKDAYS(L$3,L$4,_xlpm.feriados)*INDEX(Consultores!$C$6:$C$65,MATCH($A74,Consultores!$A$6:$A$65,0)),IF(_xlpm.horas=0,"",IFERROR(_xlpm.horas/_xlpm.capacidad,"")))</f>
        <v/>
      </c>
      <c r="S74" s="34">
        <f>_xlfn.LET(_xlpm.horas,M74,_xlpm.feriados,IF($H74="CO",FER_CO,FER_EC),_xlpm.capacidad,NETWORKDAYS(M$3,M$4,_xlpm.feriados)*INDEX(Consultores!$C$6:$C$65,MATCH($A74,Consultores!$A$6:$A$65,0)),IF(_xlpm.horas=0,"",IFERROR(_xlpm.horas/_xlpm.capacidad,"")))</f>
        <v/>
      </c>
      <c r="T74" s="34">
        <f>_xlfn.LET(_xlpm.horas,N74,_xlpm.feriados,IF($H74="CO",FER_CO,FER_EC),_xlpm.capacidad,NETWORKDAYS(N$3,N$4,_xlpm.feriados)*INDEX(Consultores!$C$6:$C$65,MATCH($A74,Consultores!$A$6:$A$65,0)),IF(_xlpm.horas=0,"",IFERROR(_xlpm.horas/_xlpm.capacidad,"")))</f>
        <v/>
      </c>
      <c r="U74" s="34">
        <f>_xlfn.LET(_xlpm.horas,O74,_xlpm.feriados,IF($H74="CO",FER_CO,FER_EC),_xlpm.capacidad,NETWORKDAYS(O$3,O$4,_xlpm.feriados)*INDEX(Consultores!$C$6:$C$65,MATCH($A74,Consultores!$A$6:$A$65,0)),IF(_xlpm.horas=0,"",IFERROR(_xlpm.horas/_xlpm.capacidad,"")))</f>
        <v/>
      </c>
    </row>
    <row r="75">
      <c r="A75" s="25" t="n"/>
      <c r="B75" s="25" t="n"/>
      <c r="C75" s="25" t="n"/>
      <c r="D75" s="30" t="n"/>
      <c r="E75" s="30" t="n"/>
      <c r="F75" s="26" t="n"/>
      <c r="G75" s="25" t="n"/>
      <c r="H75" s="31">
        <f>IF($A75="","",IFERROR(INDEX(Consultores!$B$6:$B$65,MATCH($A75,Consultores!$A$6:$A$65,0)),"No existe"))</f>
        <v/>
      </c>
      <c r="I75" s="32">
        <f>IF($F75="",0,$F75/5)</f>
        <v/>
      </c>
      <c r="J75" s="33">
        <f>_xlfn.LET(_xlpm.inicio,MAX($D75,J$3),_xlpm.fin,MIN($E75,J$4),_xlpm.feriados,IF($H75="CO",FER_CO,FER_EC),_xlpm.dias,IF(_xlpm.inicio&gt;_xlpm.fin,0,NETWORKDAYS(_xlpm.inicio,_xlpm.fin,_xlpm.feriados)),_xlpm.factor,IF($G75="Probable",IF(Parametros!$B$6="Sí",1,0),1),IF(OR($A75="",$D75="",$E75=""),0,_xlpm.dias*$I75*_xlpm.factor))</f>
        <v/>
      </c>
      <c r="K75" s="33">
        <f>_xlfn.LET(_xlpm.inicio,MAX($D75,K$3),_xlpm.fin,MIN($E75,K$4),_xlpm.feriados,IF($H75="CO",FER_CO,FER_EC),_xlpm.dias,IF(_xlpm.inicio&gt;_xlpm.fin,0,NETWORKDAYS(_xlpm.inicio,_xlpm.fin,_xlpm.feriados)),_xlpm.factor,IF($G75="Probable",IF(Parametros!$B$6="Sí",1,0),1),IF(OR($A75="",$D75="",$E75=""),0,_xlpm.dias*$I75*_xlpm.factor))</f>
        <v/>
      </c>
      <c r="L75" s="33">
        <f>_xlfn.LET(_xlpm.inicio,MAX($D75,L$3),_xlpm.fin,MIN($E75,L$4),_xlpm.feriados,IF($H75="CO",FER_CO,FER_EC),_xlpm.dias,IF(_xlpm.inicio&gt;_xlpm.fin,0,NETWORKDAYS(_xlpm.inicio,_xlpm.fin,_xlpm.feriados)),_xlpm.factor,IF($G75="Probable",IF(Parametros!$B$6="Sí",1,0),1),IF(OR($A75="",$D75="",$E75=""),0,_xlpm.dias*$I75*_xlpm.factor))</f>
        <v/>
      </c>
      <c r="M75" s="33">
        <f>_xlfn.LET(_xlpm.inicio,MAX($D75,M$3),_xlpm.fin,MIN($E75,M$4),_xlpm.feriados,IF($H75="CO",FER_CO,FER_EC),_xlpm.dias,IF(_xlpm.inicio&gt;_xlpm.fin,0,NETWORKDAYS(_xlpm.inicio,_xlpm.fin,_xlpm.feriados)),_xlpm.factor,IF($G75="Probable",IF(Parametros!$B$6="Sí",1,0),1),IF(OR($A75="",$D75="",$E75=""),0,_xlpm.dias*$I75*_xlpm.factor))</f>
        <v/>
      </c>
      <c r="N75" s="33">
        <f>_xlfn.LET(_xlpm.inicio,MAX($D75,N$3),_xlpm.fin,MIN($E75,N$4),_xlpm.feriados,IF($H75="CO",FER_CO,FER_EC),_xlpm.dias,IF(_xlpm.inicio&gt;_xlpm.fin,0,NETWORKDAYS(_xlpm.inicio,_xlpm.fin,_xlpm.feriados)),_xlpm.factor,IF($G75="Probable",IF(Parametros!$B$6="Sí",1,0),1),IF(OR($A75="",$D75="",$E75=""),0,_xlpm.dias*$I75*_xlpm.factor))</f>
        <v/>
      </c>
      <c r="O75" s="33">
        <f>_xlfn.LET(_xlpm.inicio,MAX($D75,O$3),_xlpm.fin,MIN($E75,O$4),_xlpm.feriados,IF($H75="CO",FER_CO,FER_EC),_xlpm.dias,IF(_xlpm.inicio&gt;_xlpm.fin,0,NETWORKDAYS(_xlpm.inicio,_xlpm.fin,_xlpm.feriados)),_xlpm.factor,IF($G75="Probable",IF(Parametros!$B$6="Sí",1,0),1),IF(OR($A75="",$D75="",$E75=""),0,_xlpm.dias*$I75*_xlpm.factor))</f>
        <v/>
      </c>
      <c r="P75" s="34">
        <f>_xlfn.LET(_xlpm.horas,J75,_xlpm.feriados,IF($H75="CO",FER_CO,FER_EC),_xlpm.capacidad,NETWORKDAYS(J$3,J$4,_xlpm.feriados)*INDEX(Consultores!$C$6:$C$65,MATCH($A75,Consultores!$A$6:$A$65,0)),IF(_xlpm.horas=0,"",IFERROR(_xlpm.horas/_xlpm.capacidad,"")))</f>
        <v/>
      </c>
      <c r="Q75" s="34">
        <f>_xlfn.LET(_xlpm.horas,K75,_xlpm.feriados,IF($H75="CO",FER_CO,FER_EC),_xlpm.capacidad,NETWORKDAYS(K$3,K$4,_xlpm.feriados)*INDEX(Consultores!$C$6:$C$65,MATCH($A75,Consultores!$A$6:$A$65,0)),IF(_xlpm.horas=0,"",IFERROR(_xlpm.horas/_xlpm.capacidad,"")))</f>
        <v/>
      </c>
      <c r="R75" s="34">
        <f>_xlfn.LET(_xlpm.horas,L75,_xlpm.feriados,IF($H75="CO",FER_CO,FER_EC),_xlpm.capacidad,NETWORKDAYS(L$3,L$4,_xlpm.feriados)*INDEX(Consultores!$C$6:$C$65,MATCH($A75,Consultores!$A$6:$A$65,0)),IF(_xlpm.horas=0,"",IFERROR(_xlpm.horas/_xlpm.capacidad,"")))</f>
        <v/>
      </c>
      <c r="S75" s="34">
        <f>_xlfn.LET(_xlpm.horas,M75,_xlpm.feriados,IF($H75="CO",FER_CO,FER_EC),_xlpm.capacidad,NETWORKDAYS(M$3,M$4,_xlpm.feriados)*INDEX(Consultores!$C$6:$C$65,MATCH($A75,Consultores!$A$6:$A$65,0)),IF(_xlpm.horas=0,"",IFERROR(_xlpm.horas/_xlpm.capacidad,"")))</f>
        <v/>
      </c>
      <c r="T75" s="34">
        <f>_xlfn.LET(_xlpm.horas,N75,_xlpm.feriados,IF($H75="CO",FER_CO,FER_EC),_xlpm.capacidad,NETWORKDAYS(N$3,N$4,_xlpm.feriados)*INDEX(Consultores!$C$6:$C$65,MATCH($A75,Consultores!$A$6:$A$65,0)),IF(_xlpm.horas=0,"",IFERROR(_xlpm.horas/_xlpm.capacidad,"")))</f>
        <v/>
      </c>
      <c r="U75" s="34">
        <f>_xlfn.LET(_xlpm.horas,O75,_xlpm.feriados,IF($H75="CO",FER_CO,FER_EC),_xlpm.capacidad,NETWORKDAYS(O$3,O$4,_xlpm.feriados)*INDEX(Consultores!$C$6:$C$65,MATCH($A75,Consultores!$A$6:$A$65,0)),IF(_xlpm.horas=0,"",IFERROR(_xlpm.horas/_xlpm.capacidad,"")))</f>
        <v/>
      </c>
    </row>
    <row r="76">
      <c r="A76" s="25" t="n"/>
      <c r="B76" s="25" t="n"/>
      <c r="C76" s="25" t="n"/>
      <c r="D76" s="30" t="n"/>
      <c r="E76" s="30" t="n"/>
      <c r="F76" s="26" t="n"/>
      <c r="G76" s="25" t="n"/>
      <c r="H76" s="31">
        <f>IF($A76="","",IFERROR(INDEX(Consultores!$B$6:$B$65,MATCH($A76,Consultores!$A$6:$A$65,0)),"No existe"))</f>
        <v/>
      </c>
      <c r="I76" s="32">
        <f>IF($F76="",0,$F76/5)</f>
        <v/>
      </c>
      <c r="J76" s="33">
        <f>_xlfn.LET(_xlpm.inicio,MAX($D76,J$3),_xlpm.fin,MIN($E76,J$4),_xlpm.feriados,IF($H76="CO",FER_CO,FER_EC),_xlpm.dias,IF(_xlpm.inicio&gt;_xlpm.fin,0,NETWORKDAYS(_xlpm.inicio,_xlpm.fin,_xlpm.feriados)),_xlpm.factor,IF($G76="Probable",IF(Parametros!$B$6="Sí",1,0),1),IF(OR($A76="",$D76="",$E76=""),0,_xlpm.dias*$I76*_xlpm.factor))</f>
        <v/>
      </c>
      <c r="K76" s="33">
        <f>_xlfn.LET(_xlpm.inicio,MAX($D76,K$3),_xlpm.fin,MIN($E76,K$4),_xlpm.feriados,IF($H76="CO",FER_CO,FER_EC),_xlpm.dias,IF(_xlpm.inicio&gt;_xlpm.fin,0,NETWORKDAYS(_xlpm.inicio,_xlpm.fin,_xlpm.feriados)),_xlpm.factor,IF($G76="Probable",IF(Parametros!$B$6="Sí",1,0),1),IF(OR($A76="",$D76="",$E76=""),0,_xlpm.dias*$I76*_xlpm.factor))</f>
        <v/>
      </c>
      <c r="L76" s="33">
        <f>_xlfn.LET(_xlpm.inicio,MAX($D76,L$3),_xlpm.fin,MIN($E76,L$4),_xlpm.feriados,IF($H76="CO",FER_CO,FER_EC),_xlpm.dias,IF(_xlpm.inicio&gt;_xlpm.fin,0,NETWORKDAYS(_xlpm.inicio,_xlpm.fin,_xlpm.feriados)),_xlpm.factor,IF($G76="Probable",IF(Parametros!$B$6="Sí",1,0),1),IF(OR($A76="",$D76="",$E76=""),0,_xlpm.dias*$I76*_xlpm.factor))</f>
        <v/>
      </c>
      <c r="M76" s="33">
        <f>_xlfn.LET(_xlpm.inicio,MAX($D76,M$3),_xlpm.fin,MIN($E76,M$4),_xlpm.feriados,IF($H76="CO",FER_CO,FER_EC),_xlpm.dias,IF(_xlpm.inicio&gt;_xlpm.fin,0,NETWORKDAYS(_xlpm.inicio,_xlpm.fin,_xlpm.feriados)),_xlpm.factor,IF($G76="Probable",IF(Parametros!$B$6="Sí",1,0),1),IF(OR($A76="",$D76="",$E76=""),0,_xlpm.dias*$I76*_xlpm.factor))</f>
        <v/>
      </c>
      <c r="N76" s="33">
        <f>_xlfn.LET(_xlpm.inicio,MAX($D76,N$3),_xlpm.fin,MIN($E76,N$4),_xlpm.feriados,IF($H76="CO",FER_CO,FER_EC),_xlpm.dias,IF(_xlpm.inicio&gt;_xlpm.fin,0,NETWORKDAYS(_xlpm.inicio,_xlpm.fin,_xlpm.feriados)),_xlpm.factor,IF($G76="Probable",IF(Parametros!$B$6="Sí",1,0),1),IF(OR($A76="",$D76="",$E76=""),0,_xlpm.dias*$I76*_xlpm.factor))</f>
        <v/>
      </c>
      <c r="O76" s="33">
        <f>_xlfn.LET(_xlpm.inicio,MAX($D76,O$3),_xlpm.fin,MIN($E76,O$4),_xlpm.feriados,IF($H76="CO",FER_CO,FER_EC),_xlpm.dias,IF(_xlpm.inicio&gt;_xlpm.fin,0,NETWORKDAYS(_xlpm.inicio,_xlpm.fin,_xlpm.feriados)),_xlpm.factor,IF($G76="Probable",IF(Parametros!$B$6="Sí",1,0),1),IF(OR($A76="",$D76="",$E76=""),0,_xlpm.dias*$I76*_xlpm.factor))</f>
        <v/>
      </c>
      <c r="P76" s="34">
        <f>_xlfn.LET(_xlpm.horas,J76,_xlpm.feriados,IF($H76="CO",FER_CO,FER_EC),_xlpm.capacidad,NETWORKDAYS(J$3,J$4,_xlpm.feriados)*INDEX(Consultores!$C$6:$C$65,MATCH($A76,Consultores!$A$6:$A$65,0)),IF(_xlpm.horas=0,"",IFERROR(_xlpm.horas/_xlpm.capacidad,"")))</f>
        <v/>
      </c>
      <c r="Q76" s="34">
        <f>_xlfn.LET(_xlpm.horas,K76,_xlpm.feriados,IF($H76="CO",FER_CO,FER_EC),_xlpm.capacidad,NETWORKDAYS(K$3,K$4,_xlpm.feriados)*INDEX(Consultores!$C$6:$C$65,MATCH($A76,Consultores!$A$6:$A$65,0)),IF(_xlpm.horas=0,"",IFERROR(_xlpm.horas/_xlpm.capacidad,"")))</f>
        <v/>
      </c>
      <c r="R76" s="34">
        <f>_xlfn.LET(_xlpm.horas,L76,_xlpm.feriados,IF($H76="CO",FER_CO,FER_EC),_xlpm.capacidad,NETWORKDAYS(L$3,L$4,_xlpm.feriados)*INDEX(Consultores!$C$6:$C$65,MATCH($A76,Consultores!$A$6:$A$65,0)),IF(_xlpm.horas=0,"",IFERROR(_xlpm.horas/_xlpm.capacidad,"")))</f>
        <v/>
      </c>
      <c r="S76" s="34">
        <f>_xlfn.LET(_xlpm.horas,M76,_xlpm.feriados,IF($H76="CO",FER_CO,FER_EC),_xlpm.capacidad,NETWORKDAYS(M$3,M$4,_xlpm.feriados)*INDEX(Consultores!$C$6:$C$65,MATCH($A76,Consultores!$A$6:$A$65,0)),IF(_xlpm.horas=0,"",IFERROR(_xlpm.horas/_xlpm.capacidad,"")))</f>
        <v/>
      </c>
      <c r="T76" s="34">
        <f>_xlfn.LET(_xlpm.horas,N76,_xlpm.feriados,IF($H76="CO",FER_CO,FER_EC),_xlpm.capacidad,NETWORKDAYS(N$3,N$4,_xlpm.feriados)*INDEX(Consultores!$C$6:$C$65,MATCH($A76,Consultores!$A$6:$A$65,0)),IF(_xlpm.horas=0,"",IFERROR(_xlpm.horas/_xlpm.capacidad,"")))</f>
        <v/>
      </c>
      <c r="U76" s="34">
        <f>_xlfn.LET(_xlpm.horas,O76,_xlpm.feriados,IF($H76="CO",FER_CO,FER_EC),_xlpm.capacidad,NETWORKDAYS(O$3,O$4,_xlpm.feriados)*INDEX(Consultores!$C$6:$C$65,MATCH($A76,Consultores!$A$6:$A$65,0)),IF(_xlpm.horas=0,"",IFERROR(_xlpm.horas/_xlpm.capacidad,"")))</f>
        <v/>
      </c>
    </row>
    <row r="77">
      <c r="A77" s="25" t="n"/>
      <c r="B77" s="25" t="n"/>
      <c r="C77" s="25" t="n"/>
      <c r="D77" s="30" t="n"/>
      <c r="E77" s="30" t="n"/>
      <c r="F77" s="26" t="n"/>
      <c r="G77" s="25" t="n"/>
      <c r="H77" s="31">
        <f>IF($A77="","",IFERROR(INDEX(Consultores!$B$6:$B$65,MATCH($A77,Consultores!$A$6:$A$65,0)),"No existe"))</f>
        <v/>
      </c>
      <c r="I77" s="32">
        <f>IF($F77="",0,$F77/5)</f>
        <v/>
      </c>
      <c r="J77" s="33">
        <f>_xlfn.LET(_xlpm.inicio,MAX($D77,J$3),_xlpm.fin,MIN($E77,J$4),_xlpm.feriados,IF($H77="CO",FER_CO,FER_EC),_xlpm.dias,IF(_xlpm.inicio&gt;_xlpm.fin,0,NETWORKDAYS(_xlpm.inicio,_xlpm.fin,_xlpm.feriados)),_xlpm.factor,IF($G77="Probable",IF(Parametros!$B$6="Sí",1,0),1),IF(OR($A77="",$D77="",$E77=""),0,_xlpm.dias*$I77*_xlpm.factor))</f>
        <v/>
      </c>
      <c r="K77" s="33">
        <f>_xlfn.LET(_xlpm.inicio,MAX($D77,K$3),_xlpm.fin,MIN($E77,K$4),_xlpm.feriados,IF($H77="CO",FER_CO,FER_EC),_xlpm.dias,IF(_xlpm.inicio&gt;_xlpm.fin,0,NETWORKDAYS(_xlpm.inicio,_xlpm.fin,_xlpm.feriados)),_xlpm.factor,IF($G77="Probable",IF(Parametros!$B$6="Sí",1,0),1),IF(OR($A77="",$D77="",$E77=""),0,_xlpm.dias*$I77*_xlpm.factor))</f>
        <v/>
      </c>
      <c r="L77" s="33">
        <f>_xlfn.LET(_xlpm.inicio,MAX($D77,L$3),_xlpm.fin,MIN($E77,L$4),_xlpm.feriados,IF($H77="CO",FER_CO,FER_EC),_xlpm.dias,IF(_xlpm.inicio&gt;_xlpm.fin,0,NETWORKDAYS(_xlpm.inicio,_xlpm.fin,_xlpm.feriados)),_xlpm.factor,IF($G77="Probable",IF(Parametros!$B$6="Sí",1,0),1),IF(OR($A77="",$D77="",$E77=""),0,_xlpm.dias*$I77*_xlpm.factor))</f>
        <v/>
      </c>
      <c r="M77" s="33">
        <f>_xlfn.LET(_xlpm.inicio,MAX($D77,M$3),_xlpm.fin,MIN($E77,M$4),_xlpm.feriados,IF($H77="CO",FER_CO,FER_EC),_xlpm.dias,IF(_xlpm.inicio&gt;_xlpm.fin,0,NETWORKDAYS(_xlpm.inicio,_xlpm.fin,_xlpm.feriados)),_xlpm.factor,IF($G77="Probable",IF(Parametros!$B$6="Sí",1,0),1),IF(OR($A77="",$D77="",$E77=""),0,_xlpm.dias*$I77*_xlpm.factor))</f>
        <v/>
      </c>
      <c r="N77" s="33">
        <f>_xlfn.LET(_xlpm.inicio,MAX($D77,N$3),_xlpm.fin,MIN($E77,N$4),_xlpm.feriados,IF($H77="CO",FER_CO,FER_EC),_xlpm.dias,IF(_xlpm.inicio&gt;_xlpm.fin,0,NETWORKDAYS(_xlpm.inicio,_xlpm.fin,_xlpm.feriados)),_xlpm.factor,IF($G77="Probable",IF(Parametros!$B$6="Sí",1,0),1),IF(OR($A77="",$D77="",$E77=""),0,_xlpm.dias*$I77*_xlpm.factor))</f>
        <v/>
      </c>
      <c r="O77" s="33">
        <f>_xlfn.LET(_xlpm.inicio,MAX($D77,O$3),_xlpm.fin,MIN($E77,O$4),_xlpm.feriados,IF($H77="CO",FER_CO,FER_EC),_xlpm.dias,IF(_xlpm.inicio&gt;_xlpm.fin,0,NETWORKDAYS(_xlpm.inicio,_xlpm.fin,_xlpm.feriados)),_xlpm.factor,IF($G77="Probable",IF(Parametros!$B$6="Sí",1,0),1),IF(OR($A77="",$D77="",$E77=""),0,_xlpm.dias*$I77*_xlpm.factor))</f>
        <v/>
      </c>
      <c r="P77" s="34">
        <f>_xlfn.LET(_xlpm.horas,J77,_xlpm.feriados,IF($H77="CO",FER_CO,FER_EC),_xlpm.capacidad,NETWORKDAYS(J$3,J$4,_xlpm.feriados)*INDEX(Consultores!$C$6:$C$65,MATCH($A77,Consultores!$A$6:$A$65,0)),IF(_xlpm.horas=0,"",IFERROR(_xlpm.horas/_xlpm.capacidad,"")))</f>
        <v/>
      </c>
      <c r="Q77" s="34">
        <f>_xlfn.LET(_xlpm.horas,K77,_xlpm.feriados,IF($H77="CO",FER_CO,FER_EC),_xlpm.capacidad,NETWORKDAYS(K$3,K$4,_xlpm.feriados)*INDEX(Consultores!$C$6:$C$65,MATCH($A77,Consultores!$A$6:$A$65,0)),IF(_xlpm.horas=0,"",IFERROR(_xlpm.horas/_xlpm.capacidad,"")))</f>
        <v/>
      </c>
      <c r="R77" s="34">
        <f>_xlfn.LET(_xlpm.horas,L77,_xlpm.feriados,IF($H77="CO",FER_CO,FER_EC),_xlpm.capacidad,NETWORKDAYS(L$3,L$4,_xlpm.feriados)*INDEX(Consultores!$C$6:$C$65,MATCH($A77,Consultores!$A$6:$A$65,0)),IF(_xlpm.horas=0,"",IFERROR(_xlpm.horas/_xlpm.capacidad,"")))</f>
        <v/>
      </c>
      <c r="S77" s="34">
        <f>_xlfn.LET(_xlpm.horas,M77,_xlpm.feriados,IF($H77="CO",FER_CO,FER_EC),_xlpm.capacidad,NETWORKDAYS(M$3,M$4,_xlpm.feriados)*INDEX(Consultores!$C$6:$C$65,MATCH($A77,Consultores!$A$6:$A$65,0)),IF(_xlpm.horas=0,"",IFERROR(_xlpm.horas/_xlpm.capacidad,"")))</f>
        <v/>
      </c>
      <c r="T77" s="34">
        <f>_xlfn.LET(_xlpm.horas,N77,_xlpm.feriados,IF($H77="CO",FER_CO,FER_EC),_xlpm.capacidad,NETWORKDAYS(N$3,N$4,_xlpm.feriados)*INDEX(Consultores!$C$6:$C$65,MATCH($A77,Consultores!$A$6:$A$65,0)),IF(_xlpm.horas=0,"",IFERROR(_xlpm.horas/_xlpm.capacidad,"")))</f>
        <v/>
      </c>
      <c r="U77" s="34">
        <f>_xlfn.LET(_xlpm.horas,O77,_xlpm.feriados,IF($H77="CO",FER_CO,FER_EC),_xlpm.capacidad,NETWORKDAYS(O$3,O$4,_xlpm.feriados)*INDEX(Consultores!$C$6:$C$65,MATCH($A77,Consultores!$A$6:$A$65,0)),IF(_xlpm.horas=0,"",IFERROR(_xlpm.horas/_xlpm.capacidad,"")))</f>
        <v/>
      </c>
    </row>
    <row r="78">
      <c r="A78" s="25" t="n"/>
      <c r="B78" s="25" t="n"/>
      <c r="C78" s="25" t="n"/>
      <c r="D78" s="30" t="n"/>
      <c r="E78" s="30" t="n"/>
      <c r="F78" s="26" t="n"/>
      <c r="G78" s="25" t="n"/>
      <c r="H78" s="31">
        <f>IF($A78="","",IFERROR(INDEX(Consultores!$B$6:$B$65,MATCH($A78,Consultores!$A$6:$A$65,0)),"No existe"))</f>
        <v/>
      </c>
      <c r="I78" s="32">
        <f>IF($F78="",0,$F78/5)</f>
        <v/>
      </c>
      <c r="J78" s="33">
        <f>_xlfn.LET(_xlpm.inicio,MAX($D78,J$3),_xlpm.fin,MIN($E78,J$4),_xlpm.feriados,IF($H78="CO",FER_CO,FER_EC),_xlpm.dias,IF(_xlpm.inicio&gt;_xlpm.fin,0,NETWORKDAYS(_xlpm.inicio,_xlpm.fin,_xlpm.feriados)),_xlpm.factor,IF($G78="Probable",IF(Parametros!$B$6="Sí",1,0),1),IF(OR($A78="",$D78="",$E78=""),0,_xlpm.dias*$I78*_xlpm.factor))</f>
        <v/>
      </c>
      <c r="K78" s="33">
        <f>_xlfn.LET(_xlpm.inicio,MAX($D78,K$3),_xlpm.fin,MIN($E78,K$4),_xlpm.feriados,IF($H78="CO",FER_CO,FER_EC),_xlpm.dias,IF(_xlpm.inicio&gt;_xlpm.fin,0,NETWORKDAYS(_xlpm.inicio,_xlpm.fin,_xlpm.feriados)),_xlpm.factor,IF($G78="Probable",IF(Parametros!$B$6="Sí",1,0),1),IF(OR($A78="",$D78="",$E78=""),0,_xlpm.dias*$I78*_xlpm.factor))</f>
        <v/>
      </c>
      <c r="L78" s="33">
        <f>_xlfn.LET(_xlpm.inicio,MAX($D78,L$3),_xlpm.fin,MIN($E78,L$4),_xlpm.feriados,IF($H78="CO",FER_CO,FER_EC),_xlpm.dias,IF(_xlpm.inicio&gt;_xlpm.fin,0,NETWORKDAYS(_xlpm.inicio,_xlpm.fin,_xlpm.feriados)),_xlpm.factor,IF($G78="Probable",IF(Parametros!$B$6="Sí",1,0),1),IF(OR($A78="",$D78="",$E78=""),0,_xlpm.dias*$I78*_xlpm.factor))</f>
        <v/>
      </c>
      <c r="M78" s="33">
        <f>_xlfn.LET(_xlpm.inicio,MAX($D78,M$3),_xlpm.fin,MIN($E78,M$4),_xlpm.feriados,IF($H78="CO",FER_CO,FER_EC),_xlpm.dias,IF(_xlpm.inicio&gt;_xlpm.fin,0,NETWORKDAYS(_xlpm.inicio,_xlpm.fin,_xlpm.feriados)),_xlpm.factor,IF($G78="Probable",IF(Parametros!$B$6="Sí",1,0),1),IF(OR($A78="",$D78="",$E78=""),0,_xlpm.dias*$I78*_xlpm.factor))</f>
        <v/>
      </c>
      <c r="N78" s="33">
        <f>_xlfn.LET(_xlpm.inicio,MAX($D78,N$3),_xlpm.fin,MIN($E78,N$4),_xlpm.feriados,IF($H78="CO",FER_CO,FER_EC),_xlpm.dias,IF(_xlpm.inicio&gt;_xlpm.fin,0,NETWORKDAYS(_xlpm.inicio,_xlpm.fin,_xlpm.feriados)),_xlpm.factor,IF($G78="Probable",IF(Parametros!$B$6="Sí",1,0),1),IF(OR($A78="",$D78="",$E78=""),0,_xlpm.dias*$I78*_xlpm.factor))</f>
        <v/>
      </c>
      <c r="O78" s="33">
        <f>_xlfn.LET(_xlpm.inicio,MAX($D78,O$3),_xlpm.fin,MIN($E78,O$4),_xlpm.feriados,IF($H78="CO",FER_CO,FER_EC),_xlpm.dias,IF(_xlpm.inicio&gt;_xlpm.fin,0,NETWORKDAYS(_xlpm.inicio,_xlpm.fin,_xlpm.feriados)),_xlpm.factor,IF($G78="Probable",IF(Parametros!$B$6="Sí",1,0),1),IF(OR($A78="",$D78="",$E78=""),0,_xlpm.dias*$I78*_xlpm.factor))</f>
        <v/>
      </c>
      <c r="P78" s="34">
        <f>_xlfn.LET(_xlpm.horas,J78,_xlpm.feriados,IF($H78="CO",FER_CO,FER_EC),_xlpm.capacidad,NETWORKDAYS(J$3,J$4,_xlpm.feriados)*INDEX(Consultores!$C$6:$C$65,MATCH($A78,Consultores!$A$6:$A$65,0)),IF(_xlpm.horas=0,"",IFERROR(_xlpm.horas/_xlpm.capacidad,"")))</f>
        <v/>
      </c>
      <c r="Q78" s="34">
        <f>_xlfn.LET(_xlpm.horas,K78,_xlpm.feriados,IF($H78="CO",FER_CO,FER_EC),_xlpm.capacidad,NETWORKDAYS(K$3,K$4,_xlpm.feriados)*INDEX(Consultores!$C$6:$C$65,MATCH($A78,Consultores!$A$6:$A$65,0)),IF(_xlpm.horas=0,"",IFERROR(_xlpm.horas/_xlpm.capacidad,"")))</f>
        <v/>
      </c>
      <c r="R78" s="34">
        <f>_xlfn.LET(_xlpm.horas,L78,_xlpm.feriados,IF($H78="CO",FER_CO,FER_EC),_xlpm.capacidad,NETWORKDAYS(L$3,L$4,_xlpm.feriados)*INDEX(Consultores!$C$6:$C$65,MATCH($A78,Consultores!$A$6:$A$65,0)),IF(_xlpm.horas=0,"",IFERROR(_xlpm.horas/_xlpm.capacidad,"")))</f>
        <v/>
      </c>
      <c r="S78" s="34">
        <f>_xlfn.LET(_xlpm.horas,M78,_xlpm.feriados,IF($H78="CO",FER_CO,FER_EC),_xlpm.capacidad,NETWORKDAYS(M$3,M$4,_xlpm.feriados)*INDEX(Consultores!$C$6:$C$65,MATCH($A78,Consultores!$A$6:$A$65,0)),IF(_xlpm.horas=0,"",IFERROR(_xlpm.horas/_xlpm.capacidad,"")))</f>
        <v/>
      </c>
      <c r="T78" s="34">
        <f>_xlfn.LET(_xlpm.horas,N78,_xlpm.feriados,IF($H78="CO",FER_CO,FER_EC),_xlpm.capacidad,NETWORKDAYS(N$3,N$4,_xlpm.feriados)*INDEX(Consultores!$C$6:$C$65,MATCH($A78,Consultores!$A$6:$A$65,0)),IF(_xlpm.horas=0,"",IFERROR(_xlpm.horas/_xlpm.capacidad,"")))</f>
        <v/>
      </c>
      <c r="U78" s="34">
        <f>_xlfn.LET(_xlpm.horas,O78,_xlpm.feriados,IF($H78="CO",FER_CO,FER_EC),_xlpm.capacidad,NETWORKDAYS(O$3,O$4,_xlpm.feriados)*INDEX(Consultores!$C$6:$C$65,MATCH($A78,Consultores!$A$6:$A$65,0)),IF(_xlpm.horas=0,"",IFERROR(_xlpm.horas/_xlpm.capacidad,"")))</f>
        <v/>
      </c>
    </row>
    <row r="79">
      <c r="A79" s="25" t="n"/>
      <c r="B79" s="25" t="n"/>
      <c r="C79" s="25" t="n"/>
      <c r="D79" s="30" t="n"/>
      <c r="E79" s="30" t="n"/>
      <c r="F79" s="26" t="n"/>
      <c r="G79" s="25" t="n"/>
      <c r="H79" s="31">
        <f>IF($A79="","",IFERROR(INDEX(Consultores!$B$6:$B$65,MATCH($A79,Consultores!$A$6:$A$65,0)),"No existe"))</f>
        <v/>
      </c>
      <c r="I79" s="32">
        <f>IF($F79="",0,$F79/5)</f>
        <v/>
      </c>
      <c r="J79" s="33">
        <f>_xlfn.LET(_xlpm.inicio,MAX($D79,J$3),_xlpm.fin,MIN($E79,J$4),_xlpm.feriados,IF($H79="CO",FER_CO,FER_EC),_xlpm.dias,IF(_xlpm.inicio&gt;_xlpm.fin,0,NETWORKDAYS(_xlpm.inicio,_xlpm.fin,_xlpm.feriados)),_xlpm.factor,IF($G79="Probable",IF(Parametros!$B$6="Sí",1,0),1),IF(OR($A79="",$D79="",$E79=""),0,_xlpm.dias*$I79*_xlpm.factor))</f>
        <v/>
      </c>
      <c r="K79" s="33">
        <f>_xlfn.LET(_xlpm.inicio,MAX($D79,K$3),_xlpm.fin,MIN($E79,K$4),_xlpm.feriados,IF($H79="CO",FER_CO,FER_EC),_xlpm.dias,IF(_xlpm.inicio&gt;_xlpm.fin,0,NETWORKDAYS(_xlpm.inicio,_xlpm.fin,_xlpm.feriados)),_xlpm.factor,IF($G79="Probable",IF(Parametros!$B$6="Sí",1,0),1),IF(OR($A79="",$D79="",$E79=""),0,_xlpm.dias*$I79*_xlpm.factor))</f>
        <v/>
      </c>
      <c r="L79" s="33">
        <f>_xlfn.LET(_xlpm.inicio,MAX($D79,L$3),_xlpm.fin,MIN($E79,L$4),_xlpm.feriados,IF($H79="CO",FER_CO,FER_EC),_xlpm.dias,IF(_xlpm.inicio&gt;_xlpm.fin,0,NETWORKDAYS(_xlpm.inicio,_xlpm.fin,_xlpm.feriados)),_xlpm.factor,IF($G79="Probable",IF(Parametros!$B$6="Sí",1,0),1),IF(OR($A79="",$D79="",$E79=""),0,_xlpm.dias*$I79*_xlpm.factor))</f>
        <v/>
      </c>
      <c r="M79" s="33">
        <f>_xlfn.LET(_xlpm.inicio,MAX($D79,M$3),_xlpm.fin,MIN($E79,M$4),_xlpm.feriados,IF($H79="CO",FER_CO,FER_EC),_xlpm.dias,IF(_xlpm.inicio&gt;_xlpm.fin,0,NETWORKDAYS(_xlpm.inicio,_xlpm.fin,_xlpm.feriados)),_xlpm.factor,IF($G79="Probable",IF(Parametros!$B$6="Sí",1,0),1),IF(OR($A79="",$D79="",$E79=""),0,_xlpm.dias*$I79*_xlpm.factor))</f>
        <v/>
      </c>
      <c r="N79" s="33">
        <f>_xlfn.LET(_xlpm.inicio,MAX($D79,N$3),_xlpm.fin,MIN($E79,N$4),_xlpm.feriados,IF($H79="CO",FER_CO,FER_EC),_xlpm.dias,IF(_xlpm.inicio&gt;_xlpm.fin,0,NETWORKDAYS(_xlpm.inicio,_xlpm.fin,_xlpm.feriados)),_xlpm.factor,IF($G79="Probable",IF(Parametros!$B$6="Sí",1,0),1),IF(OR($A79="",$D79="",$E79=""),0,_xlpm.dias*$I79*_xlpm.factor))</f>
        <v/>
      </c>
      <c r="O79" s="33">
        <f>_xlfn.LET(_xlpm.inicio,MAX($D79,O$3),_xlpm.fin,MIN($E79,O$4),_xlpm.feriados,IF($H79="CO",FER_CO,FER_EC),_xlpm.dias,IF(_xlpm.inicio&gt;_xlpm.fin,0,NETWORKDAYS(_xlpm.inicio,_xlpm.fin,_xlpm.feriados)),_xlpm.factor,IF($G79="Probable",IF(Parametros!$B$6="Sí",1,0),1),IF(OR($A79="",$D79="",$E79=""),0,_xlpm.dias*$I79*_xlpm.factor))</f>
        <v/>
      </c>
      <c r="P79" s="34">
        <f>_xlfn.LET(_xlpm.horas,J79,_xlpm.feriados,IF($H79="CO",FER_CO,FER_EC),_xlpm.capacidad,NETWORKDAYS(J$3,J$4,_xlpm.feriados)*INDEX(Consultores!$C$6:$C$65,MATCH($A79,Consultores!$A$6:$A$65,0)),IF(_xlpm.horas=0,"",IFERROR(_xlpm.horas/_xlpm.capacidad,"")))</f>
        <v/>
      </c>
      <c r="Q79" s="34">
        <f>_xlfn.LET(_xlpm.horas,K79,_xlpm.feriados,IF($H79="CO",FER_CO,FER_EC),_xlpm.capacidad,NETWORKDAYS(K$3,K$4,_xlpm.feriados)*INDEX(Consultores!$C$6:$C$65,MATCH($A79,Consultores!$A$6:$A$65,0)),IF(_xlpm.horas=0,"",IFERROR(_xlpm.horas/_xlpm.capacidad,"")))</f>
        <v/>
      </c>
      <c r="R79" s="34">
        <f>_xlfn.LET(_xlpm.horas,L79,_xlpm.feriados,IF($H79="CO",FER_CO,FER_EC),_xlpm.capacidad,NETWORKDAYS(L$3,L$4,_xlpm.feriados)*INDEX(Consultores!$C$6:$C$65,MATCH($A79,Consultores!$A$6:$A$65,0)),IF(_xlpm.horas=0,"",IFERROR(_xlpm.horas/_xlpm.capacidad,"")))</f>
        <v/>
      </c>
      <c r="S79" s="34">
        <f>_xlfn.LET(_xlpm.horas,M79,_xlpm.feriados,IF($H79="CO",FER_CO,FER_EC),_xlpm.capacidad,NETWORKDAYS(M$3,M$4,_xlpm.feriados)*INDEX(Consultores!$C$6:$C$65,MATCH($A79,Consultores!$A$6:$A$65,0)),IF(_xlpm.horas=0,"",IFERROR(_xlpm.horas/_xlpm.capacidad,"")))</f>
        <v/>
      </c>
      <c r="T79" s="34">
        <f>_xlfn.LET(_xlpm.horas,N79,_xlpm.feriados,IF($H79="CO",FER_CO,FER_EC),_xlpm.capacidad,NETWORKDAYS(N$3,N$4,_xlpm.feriados)*INDEX(Consultores!$C$6:$C$65,MATCH($A79,Consultores!$A$6:$A$65,0)),IF(_xlpm.horas=0,"",IFERROR(_xlpm.horas/_xlpm.capacidad,"")))</f>
        <v/>
      </c>
      <c r="U79" s="34">
        <f>_xlfn.LET(_xlpm.horas,O79,_xlpm.feriados,IF($H79="CO",FER_CO,FER_EC),_xlpm.capacidad,NETWORKDAYS(O$3,O$4,_xlpm.feriados)*INDEX(Consultores!$C$6:$C$65,MATCH($A79,Consultores!$A$6:$A$65,0)),IF(_xlpm.horas=0,"",IFERROR(_xlpm.horas/_xlpm.capacidad,"")))</f>
        <v/>
      </c>
    </row>
    <row r="80">
      <c r="A80" s="25" t="n"/>
      <c r="B80" s="25" t="n"/>
      <c r="C80" s="25" t="n"/>
      <c r="D80" s="30" t="n"/>
      <c r="E80" s="30" t="n"/>
      <c r="F80" s="26" t="n"/>
      <c r="G80" s="25" t="n"/>
      <c r="H80" s="31">
        <f>IF($A80="","",IFERROR(INDEX(Consultores!$B$6:$B$65,MATCH($A80,Consultores!$A$6:$A$65,0)),"No existe"))</f>
        <v/>
      </c>
      <c r="I80" s="32">
        <f>IF($F80="",0,$F80/5)</f>
        <v/>
      </c>
      <c r="J80" s="33">
        <f>_xlfn.LET(_xlpm.inicio,MAX($D80,J$3),_xlpm.fin,MIN($E80,J$4),_xlpm.feriados,IF($H80="CO",FER_CO,FER_EC),_xlpm.dias,IF(_xlpm.inicio&gt;_xlpm.fin,0,NETWORKDAYS(_xlpm.inicio,_xlpm.fin,_xlpm.feriados)),_xlpm.factor,IF($G80="Probable",IF(Parametros!$B$6="Sí",1,0),1),IF(OR($A80="",$D80="",$E80=""),0,_xlpm.dias*$I80*_xlpm.factor))</f>
        <v/>
      </c>
      <c r="K80" s="33">
        <f>_xlfn.LET(_xlpm.inicio,MAX($D80,K$3),_xlpm.fin,MIN($E80,K$4),_xlpm.feriados,IF($H80="CO",FER_CO,FER_EC),_xlpm.dias,IF(_xlpm.inicio&gt;_xlpm.fin,0,NETWORKDAYS(_xlpm.inicio,_xlpm.fin,_xlpm.feriados)),_xlpm.factor,IF($G80="Probable",IF(Parametros!$B$6="Sí",1,0),1),IF(OR($A80="",$D80="",$E80=""),0,_xlpm.dias*$I80*_xlpm.factor))</f>
        <v/>
      </c>
      <c r="L80" s="33">
        <f>_xlfn.LET(_xlpm.inicio,MAX($D80,L$3),_xlpm.fin,MIN($E80,L$4),_xlpm.feriados,IF($H80="CO",FER_CO,FER_EC),_xlpm.dias,IF(_xlpm.inicio&gt;_xlpm.fin,0,NETWORKDAYS(_xlpm.inicio,_xlpm.fin,_xlpm.feriados)),_xlpm.factor,IF($G80="Probable",IF(Parametros!$B$6="Sí",1,0),1),IF(OR($A80="",$D80="",$E80=""),0,_xlpm.dias*$I80*_xlpm.factor))</f>
        <v/>
      </c>
      <c r="M80" s="33">
        <f>_xlfn.LET(_xlpm.inicio,MAX($D80,M$3),_xlpm.fin,MIN($E80,M$4),_xlpm.feriados,IF($H80="CO",FER_CO,FER_EC),_xlpm.dias,IF(_xlpm.inicio&gt;_xlpm.fin,0,NETWORKDAYS(_xlpm.inicio,_xlpm.fin,_xlpm.feriados)),_xlpm.factor,IF($G80="Probable",IF(Parametros!$B$6="Sí",1,0),1),IF(OR($A80="",$D80="",$E80=""),0,_xlpm.dias*$I80*_xlpm.factor))</f>
        <v/>
      </c>
      <c r="N80" s="33">
        <f>_xlfn.LET(_xlpm.inicio,MAX($D80,N$3),_xlpm.fin,MIN($E80,N$4),_xlpm.feriados,IF($H80="CO",FER_CO,FER_EC),_xlpm.dias,IF(_xlpm.inicio&gt;_xlpm.fin,0,NETWORKDAYS(_xlpm.inicio,_xlpm.fin,_xlpm.feriados)),_xlpm.factor,IF($G80="Probable",IF(Parametros!$B$6="Sí",1,0),1),IF(OR($A80="",$D80="",$E80=""),0,_xlpm.dias*$I80*_xlpm.factor))</f>
        <v/>
      </c>
      <c r="O80" s="33">
        <f>_xlfn.LET(_xlpm.inicio,MAX($D80,O$3),_xlpm.fin,MIN($E80,O$4),_xlpm.feriados,IF($H80="CO",FER_CO,FER_EC),_xlpm.dias,IF(_xlpm.inicio&gt;_xlpm.fin,0,NETWORKDAYS(_xlpm.inicio,_xlpm.fin,_xlpm.feriados)),_xlpm.factor,IF($G80="Probable",IF(Parametros!$B$6="Sí",1,0),1),IF(OR($A80="",$D80="",$E80=""),0,_xlpm.dias*$I80*_xlpm.factor))</f>
        <v/>
      </c>
      <c r="P80" s="34">
        <f>_xlfn.LET(_xlpm.horas,J80,_xlpm.feriados,IF($H80="CO",FER_CO,FER_EC),_xlpm.capacidad,NETWORKDAYS(J$3,J$4,_xlpm.feriados)*INDEX(Consultores!$C$6:$C$65,MATCH($A80,Consultores!$A$6:$A$65,0)),IF(_xlpm.horas=0,"",IFERROR(_xlpm.horas/_xlpm.capacidad,"")))</f>
        <v/>
      </c>
      <c r="Q80" s="34">
        <f>_xlfn.LET(_xlpm.horas,K80,_xlpm.feriados,IF($H80="CO",FER_CO,FER_EC),_xlpm.capacidad,NETWORKDAYS(K$3,K$4,_xlpm.feriados)*INDEX(Consultores!$C$6:$C$65,MATCH($A80,Consultores!$A$6:$A$65,0)),IF(_xlpm.horas=0,"",IFERROR(_xlpm.horas/_xlpm.capacidad,"")))</f>
        <v/>
      </c>
      <c r="R80" s="34">
        <f>_xlfn.LET(_xlpm.horas,L80,_xlpm.feriados,IF($H80="CO",FER_CO,FER_EC),_xlpm.capacidad,NETWORKDAYS(L$3,L$4,_xlpm.feriados)*INDEX(Consultores!$C$6:$C$65,MATCH($A80,Consultores!$A$6:$A$65,0)),IF(_xlpm.horas=0,"",IFERROR(_xlpm.horas/_xlpm.capacidad,"")))</f>
        <v/>
      </c>
      <c r="S80" s="34">
        <f>_xlfn.LET(_xlpm.horas,M80,_xlpm.feriados,IF($H80="CO",FER_CO,FER_EC),_xlpm.capacidad,NETWORKDAYS(M$3,M$4,_xlpm.feriados)*INDEX(Consultores!$C$6:$C$65,MATCH($A80,Consultores!$A$6:$A$65,0)),IF(_xlpm.horas=0,"",IFERROR(_xlpm.horas/_xlpm.capacidad,"")))</f>
        <v/>
      </c>
      <c r="T80" s="34">
        <f>_xlfn.LET(_xlpm.horas,N80,_xlpm.feriados,IF($H80="CO",FER_CO,FER_EC),_xlpm.capacidad,NETWORKDAYS(N$3,N$4,_xlpm.feriados)*INDEX(Consultores!$C$6:$C$65,MATCH($A80,Consultores!$A$6:$A$65,0)),IF(_xlpm.horas=0,"",IFERROR(_xlpm.horas/_xlpm.capacidad,"")))</f>
        <v/>
      </c>
      <c r="U80" s="34">
        <f>_xlfn.LET(_xlpm.horas,O80,_xlpm.feriados,IF($H80="CO",FER_CO,FER_EC),_xlpm.capacidad,NETWORKDAYS(O$3,O$4,_xlpm.feriados)*INDEX(Consultores!$C$6:$C$65,MATCH($A80,Consultores!$A$6:$A$65,0)),IF(_xlpm.horas=0,"",IFERROR(_xlpm.horas/_xlpm.capacidad,"")))</f>
        <v/>
      </c>
    </row>
    <row r="81">
      <c r="A81" s="25" t="n"/>
      <c r="B81" s="25" t="n"/>
      <c r="C81" s="25" t="n"/>
      <c r="D81" s="30" t="n"/>
      <c r="E81" s="30" t="n"/>
      <c r="F81" s="26" t="n"/>
      <c r="G81" s="25" t="n"/>
      <c r="H81" s="31">
        <f>IF($A81="","",IFERROR(INDEX(Consultores!$B$6:$B$65,MATCH($A81,Consultores!$A$6:$A$65,0)),"No existe"))</f>
        <v/>
      </c>
      <c r="I81" s="32">
        <f>IF($F81="",0,$F81/5)</f>
        <v/>
      </c>
      <c r="J81" s="33">
        <f>_xlfn.LET(_xlpm.inicio,MAX($D81,J$3),_xlpm.fin,MIN($E81,J$4),_xlpm.feriados,IF($H81="CO",FER_CO,FER_EC),_xlpm.dias,IF(_xlpm.inicio&gt;_xlpm.fin,0,NETWORKDAYS(_xlpm.inicio,_xlpm.fin,_xlpm.feriados)),_xlpm.factor,IF($G81="Probable",IF(Parametros!$B$6="Sí",1,0),1),IF(OR($A81="",$D81="",$E81=""),0,_xlpm.dias*$I81*_xlpm.factor))</f>
        <v/>
      </c>
      <c r="K81" s="33">
        <f>_xlfn.LET(_xlpm.inicio,MAX($D81,K$3),_xlpm.fin,MIN($E81,K$4),_xlpm.feriados,IF($H81="CO",FER_CO,FER_EC),_xlpm.dias,IF(_xlpm.inicio&gt;_xlpm.fin,0,NETWORKDAYS(_xlpm.inicio,_xlpm.fin,_xlpm.feriados)),_xlpm.factor,IF($G81="Probable",IF(Parametros!$B$6="Sí",1,0),1),IF(OR($A81="",$D81="",$E81=""),0,_xlpm.dias*$I81*_xlpm.factor))</f>
        <v/>
      </c>
      <c r="L81" s="33">
        <f>_xlfn.LET(_xlpm.inicio,MAX($D81,L$3),_xlpm.fin,MIN($E81,L$4),_xlpm.feriados,IF($H81="CO",FER_CO,FER_EC),_xlpm.dias,IF(_xlpm.inicio&gt;_xlpm.fin,0,NETWORKDAYS(_xlpm.inicio,_xlpm.fin,_xlpm.feriados)),_xlpm.factor,IF($G81="Probable",IF(Parametros!$B$6="Sí",1,0),1),IF(OR($A81="",$D81="",$E81=""),0,_xlpm.dias*$I81*_xlpm.factor))</f>
        <v/>
      </c>
      <c r="M81" s="33">
        <f>_xlfn.LET(_xlpm.inicio,MAX($D81,M$3),_xlpm.fin,MIN($E81,M$4),_xlpm.feriados,IF($H81="CO",FER_CO,FER_EC),_xlpm.dias,IF(_xlpm.inicio&gt;_xlpm.fin,0,NETWORKDAYS(_xlpm.inicio,_xlpm.fin,_xlpm.feriados)),_xlpm.factor,IF($G81="Probable",IF(Parametros!$B$6="Sí",1,0),1),IF(OR($A81="",$D81="",$E81=""),0,_xlpm.dias*$I81*_xlpm.factor))</f>
        <v/>
      </c>
      <c r="N81" s="33">
        <f>_xlfn.LET(_xlpm.inicio,MAX($D81,N$3),_xlpm.fin,MIN($E81,N$4),_xlpm.feriados,IF($H81="CO",FER_CO,FER_EC),_xlpm.dias,IF(_xlpm.inicio&gt;_xlpm.fin,0,NETWORKDAYS(_xlpm.inicio,_xlpm.fin,_xlpm.feriados)),_xlpm.factor,IF($G81="Probable",IF(Parametros!$B$6="Sí",1,0),1),IF(OR($A81="",$D81="",$E81=""),0,_xlpm.dias*$I81*_xlpm.factor))</f>
        <v/>
      </c>
      <c r="O81" s="33">
        <f>_xlfn.LET(_xlpm.inicio,MAX($D81,O$3),_xlpm.fin,MIN($E81,O$4),_xlpm.feriados,IF($H81="CO",FER_CO,FER_EC),_xlpm.dias,IF(_xlpm.inicio&gt;_xlpm.fin,0,NETWORKDAYS(_xlpm.inicio,_xlpm.fin,_xlpm.feriados)),_xlpm.factor,IF($G81="Probable",IF(Parametros!$B$6="Sí",1,0),1),IF(OR($A81="",$D81="",$E81=""),0,_xlpm.dias*$I81*_xlpm.factor))</f>
        <v/>
      </c>
      <c r="P81" s="34">
        <f>_xlfn.LET(_xlpm.horas,J81,_xlpm.feriados,IF($H81="CO",FER_CO,FER_EC),_xlpm.capacidad,NETWORKDAYS(J$3,J$4,_xlpm.feriados)*INDEX(Consultores!$C$6:$C$65,MATCH($A81,Consultores!$A$6:$A$65,0)),IF(_xlpm.horas=0,"",IFERROR(_xlpm.horas/_xlpm.capacidad,"")))</f>
        <v/>
      </c>
      <c r="Q81" s="34">
        <f>_xlfn.LET(_xlpm.horas,K81,_xlpm.feriados,IF($H81="CO",FER_CO,FER_EC),_xlpm.capacidad,NETWORKDAYS(K$3,K$4,_xlpm.feriados)*INDEX(Consultores!$C$6:$C$65,MATCH($A81,Consultores!$A$6:$A$65,0)),IF(_xlpm.horas=0,"",IFERROR(_xlpm.horas/_xlpm.capacidad,"")))</f>
        <v/>
      </c>
      <c r="R81" s="34">
        <f>_xlfn.LET(_xlpm.horas,L81,_xlpm.feriados,IF($H81="CO",FER_CO,FER_EC),_xlpm.capacidad,NETWORKDAYS(L$3,L$4,_xlpm.feriados)*INDEX(Consultores!$C$6:$C$65,MATCH($A81,Consultores!$A$6:$A$65,0)),IF(_xlpm.horas=0,"",IFERROR(_xlpm.horas/_xlpm.capacidad,"")))</f>
        <v/>
      </c>
      <c r="S81" s="34">
        <f>_xlfn.LET(_xlpm.horas,M81,_xlpm.feriados,IF($H81="CO",FER_CO,FER_EC),_xlpm.capacidad,NETWORKDAYS(M$3,M$4,_xlpm.feriados)*INDEX(Consultores!$C$6:$C$65,MATCH($A81,Consultores!$A$6:$A$65,0)),IF(_xlpm.horas=0,"",IFERROR(_xlpm.horas/_xlpm.capacidad,"")))</f>
        <v/>
      </c>
      <c r="T81" s="34">
        <f>_xlfn.LET(_xlpm.horas,N81,_xlpm.feriados,IF($H81="CO",FER_CO,FER_EC),_xlpm.capacidad,NETWORKDAYS(N$3,N$4,_xlpm.feriados)*INDEX(Consultores!$C$6:$C$65,MATCH($A81,Consultores!$A$6:$A$65,0)),IF(_xlpm.horas=0,"",IFERROR(_xlpm.horas/_xlpm.capacidad,"")))</f>
        <v/>
      </c>
      <c r="U81" s="34">
        <f>_xlfn.LET(_xlpm.horas,O81,_xlpm.feriados,IF($H81="CO",FER_CO,FER_EC),_xlpm.capacidad,NETWORKDAYS(O$3,O$4,_xlpm.feriados)*INDEX(Consultores!$C$6:$C$65,MATCH($A81,Consultores!$A$6:$A$65,0)),IF(_xlpm.horas=0,"",IFERROR(_xlpm.horas/_xlpm.capacidad,"")))</f>
        <v/>
      </c>
    </row>
    <row r="82">
      <c r="A82" s="25" t="n"/>
      <c r="B82" s="25" t="n"/>
      <c r="C82" s="25" t="n"/>
      <c r="D82" s="30" t="n"/>
      <c r="E82" s="30" t="n"/>
      <c r="F82" s="26" t="n"/>
      <c r="G82" s="25" t="n"/>
      <c r="H82" s="31">
        <f>IF($A82="","",IFERROR(INDEX(Consultores!$B$6:$B$65,MATCH($A82,Consultores!$A$6:$A$65,0)),"No existe"))</f>
        <v/>
      </c>
      <c r="I82" s="32">
        <f>IF($F82="",0,$F82/5)</f>
        <v/>
      </c>
      <c r="J82" s="33">
        <f>_xlfn.LET(_xlpm.inicio,MAX($D82,J$3),_xlpm.fin,MIN($E82,J$4),_xlpm.feriados,IF($H82="CO",FER_CO,FER_EC),_xlpm.dias,IF(_xlpm.inicio&gt;_xlpm.fin,0,NETWORKDAYS(_xlpm.inicio,_xlpm.fin,_xlpm.feriados)),_xlpm.factor,IF($G82="Probable",IF(Parametros!$B$6="Sí",1,0),1),IF(OR($A82="",$D82="",$E82=""),0,_xlpm.dias*$I82*_xlpm.factor))</f>
        <v/>
      </c>
      <c r="K82" s="33">
        <f>_xlfn.LET(_xlpm.inicio,MAX($D82,K$3),_xlpm.fin,MIN($E82,K$4),_xlpm.feriados,IF($H82="CO",FER_CO,FER_EC),_xlpm.dias,IF(_xlpm.inicio&gt;_xlpm.fin,0,NETWORKDAYS(_xlpm.inicio,_xlpm.fin,_xlpm.feriados)),_xlpm.factor,IF($G82="Probable",IF(Parametros!$B$6="Sí",1,0),1),IF(OR($A82="",$D82="",$E82=""),0,_xlpm.dias*$I82*_xlpm.factor))</f>
        <v/>
      </c>
      <c r="L82" s="33">
        <f>_xlfn.LET(_xlpm.inicio,MAX($D82,L$3),_xlpm.fin,MIN($E82,L$4),_xlpm.feriados,IF($H82="CO",FER_CO,FER_EC),_xlpm.dias,IF(_xlpm.inicio&gt;_xlpm.fin,0,NETWORKDAYS(_xlpm.inicio,_xlpm.fin,_xlpm.feriados)),_xlpm.factor,IF($G82="Probable",IF(Parametros!$B$6="Sí",1,0),1),IF(OR($A82="",$D82="",$E82=""),0,_xlpm.dias*$I82*_xlpm.factor))</f>
        <v/>
      </c>
      <c r="M82" s="33">
        <f>_xlfn.LET(_xlpm.inicio,MAX($D82,M$3),_xlpm.fin,MIN($E82,M$4),_xlpm.feriados,IF($H82="CO",FER_CO,FER_EC),_xlpm.dias,IF(_xlpm.inicio&gt;_xlpm.fin,0,NETWORKDAYS(_xlpm.inicio,_xlpm.fin,_xlpm.feriados)),_xlpm.factor,IF($G82="Probable",IF(Parametros!$B$6="Sí",1,0),1),IF(OR($A82="",$D82="",$E82=""),0,_xlpm.dias*$I82*_xlpm.factor))</f>
        <v/>
      </c>
      <c r="N82" s="33">
        <f>_xlfn.LET(_xlpm.inicio,MAX($D82,N$3),_xlpm.fin,MIN($E82,N$4),_xlpm.feriados,IF($H82="CO",FER_CO,FER_EC),_xlpm.dias,IF(_xlpm.inicio&gt;_xlpm.fin,0,NETWORKDAYS(_xlpm.inicio,_xlpm.fin,_xlpm.feriados)),_xlpm.factor,IF($G82="Probable",IF(Parametros!$B$6="Sí",1,0),1),IF(OR($A82="",$D82="",$E82=""),0,_xlpm.dias*$I82*_xlpm.factor))</f>
        <v/>
      </c>
      <c r="O82" s="33">
        <f>_xlfn.LET(_xlpm.inicio,MAX($D82,O$3),_xlpm.fin,MIN($E82,O$4),_xlpm.feriados,IF($H82="CO",FER_CO,FER_EC),_xlpm.dias,IF(_xlpm.inicio&gt;_xlpm.fin,0,NETWORKDAYS(_xlpm.inicio,_xlpm.fin,_xlpm.feriados)),_xlpm.factor,IF($G82="Probable",IF(Parametros!$B$6="Sí",1,0),1),IF(OR($A82="",$D82="",$E82=""),0,_xlpm.dias*$I82*_xlpm.factor))</f>
        <v/>
      </c>
      <c r="P82" s="34">
        <f>_xlfn.LET(_xlpm.horas,J82,_xlpm.feriados,IF($H82="CO",FER_CO,FER_EC),_xlpm.capacidad,NETWORKDAYS(J$3,J$4,_xlpm.feriados)*INDEX(Consultores!$C$6:$C$65,MATCH($A82,Consultores!$A$6:$A$65,0)),IF(_xlpm.horas=0,"",IFERROR(_xlpm.horas/_xlpm.capacidad,"")))</f>
        <v/>
      </c>
      <c r="Q82" s="34">
        <f>_xlfn.LET(_xlpm.horas,K82,_xlpm.feriados,IF($H82="CO",FER_CO,FER_EC),_xlpm.capacidad,NETWORKDAYS(K$3,K$4,_xlpm.feriados)*INDEX(Consultores!$C$6:$C$65,MATCH($A82,Consultores!$A$6:$A$65,0)),IF(_xlpm.horas=0,"",IFERROR(_xlpm.horas/_xlpm.capacidad,"")))</f>
        <v/>
      </c>
      <c r="R82" s="34">
        <f>_xlfn.LET(_xlpm.horas,L82,_xlpm.feriados,IF($H82="CO",FER_CO,FER_EC),_xlpm.capacidad,NETWORKDAYS(L$3,L$4,_xlpm.feriados)*INDEX(Consultores!$C$6:$C$65,MATCH($A82,Consultores!$A$6:$A$65,0)),IF(_xlpm.horas=0,"",IFERROR(_xlpm.horas/_xlpm.capacidad,"")))</f>
        <v/>
      </c>
      <c r="S82" s="34">
        <f>_xlfn.LET(_xlpm.horas,M82,_xlpm.feriados,IF($H82="CO",FER_CO,FER_EC),_xlpm.capacidad,NETWORKDAYS(M$3,M$4,_xlpm.feriados)*INDEX(Consultores!$C$6:$C$65,MATCH($A82,Consultores!$A$6:$A$65,0)),IF(_xlpm.horas=0,"",IFERROR(_xlpm.horas/_xlpm.capacidad,"")))</f>
        <v/>
      </c>
      <c r="T82" s="34">
        <f>_xlfn.LET(_xlpm.horas,N82,_xlpm.feriados,IF($H82="CO",FER_CO,FER_EC),_xlpm.capacidad,NETWORKDAYS(N$3,N$4,_xlpm.feriados)*INDEX(Consultores!$C$6:$C$65,MATCH($A82,Consultores!$A$6:$A$65,0)),IF(_xlpm.horas=0,"",IFERROR(_xlpm.horas/_xlpm.capacidad,"")))</f>
        <v/>
      </c>
      <c r="U82" s="34">
        <f>_xlfn.LET(_xlpm.horas,O82,_xlpm.feriados,IF($H82="CO",FER_CO,FER_EC),_xlpm.capacidad,NETWORKDAYS(O$3,O$4,_xlpm.feriados)*INDEX(Consultores!$C$6:$C$65,MATCH($A82,Consultores!$A$6:$A$65,0)),IF(_xlpm.horas=0,"",IFERROR(_xlpm.horas/_xlpm.capacidad,"")))</f>
        <v/>
      </c>
    </row>
    <row r="83">
      <c r="A83" s="25" t="n"/>
      <c r="B83" s="25" t="n"/>
      <c r="C83" s="25" t="n"/>
      <c r="D83" s="30" t="n"/>
      <c r="E83" s="30" t="n"/>
      <c r="F83" s="26" t="n"/>
      <c r="G83" s="25" t="n"/>
      <c r="H83" s="31">
        <f>IF($A83="","",IFERROR(INDEX(Consultores!$B$6:$B$65,MATCH($A83,Consultores!$A$6:$A$65,0)),"No existe"))</f>
        <v/>
      </c>
      <c r="I83" s="32">
        <f>IF($F83="",0,$F83/5)</f>
        <v/>
      </c>
      <c r="J83" s="33">
        <f>_xlfn.LET(_xlpm.inicio,MAX($D83,J$3),_xlpm.fin,MIN($E83,J$4),_xlpm.feriados,IF($H83="CO",FER_CO,FER_EC),_xlpm.dias,IF(_xlpm.inicio&gt;_xlpm.fin,0,NETWORKDAYS(_xlpm.inicio,_xlpm.fin,_xlpm.feriados)),_xlpm.factor,IF($G83="Probable",IF(Parametros!$B$6="Sí",1,0),1),IF(OR($A83="",$D83="",$E83=""),0,_xlpm.dias*$I83*_xlpm.factor))</f>
        <v/>
      </c>
      <c r="K83" s="33">
        <f>_xlfn.LET(_xlpm.inicio,MAX($D83,K$3),_xlpm.fin,MIN($E83,K$4),_xlpm.feriados,IF($H83="CO",FER_CO,FER_EC),_xlpm.dias,IF(_xlpm.inicio&gt;_xlpm.fin,0,NETWORKDAYS(_xlpm.inicio,_xlpm.fin,_xlpm.feriados)),_xlpm.factor,IF($G83="Probable",IF(Parametros!$B$6="Sí",1,0),1),IF(OR($A83="",$D83="",$E83=""),0,_xlpm.dias*$I83*_xlpm.factor))</f>
        <v/>
      </c>
      <c r="L83" s="33">
        <f>_xlfn.LET(_xlpm.inicio,MAX($D83,L$3),_xlpm.fin,MIN($E83,L$4),_xlpm.feriados,IF($H83="CO",FER_CO,FER_EC),_xlpm.dias,IF(_xlpm.inicio&gt;_xlpm.fin,0,NETWORKDAYS(_xlpm.inicio,_xlpm.fin,_xlpm.feriados)),_xlpm.factor,IF($G83="Probable",IF(Parametros!$B$6="Sí",1,0),1),IF(OR($A83="",$D83="",$E83=""),0,_xlpm.dias*$I83*_xlpm.factor))</f>
        <v/>
      </c>
      <c r="M83" s="33">
        <f>_xlfn.LET(_xlpm.inicio,MAX($D83,M$3),_xlpm.fin,MIN($E83,M$4),_xlpm.feriados,IF($H83="CO",FER_CO,FER_EC),_xlpm.dias,IF(_xlpm.inicio&gt;_xlpm.fin,0,NETWORKDAYS(_xlpm.inicio,_xlpm.fin,_xlpm.feriados)),_xlpm.factor,IF($G83="Probable",IF(Parametros!$B$6="Sí",1,0),1),IF(OR($A83="",$D83="",$E83=""),0,_xlpm.dias*$I83*_xlpm.factor))</f>
        <v/>
      </c>
      <c r="N83" s="33">
        <f>_xlfn.LET(_xlpm.inicio,MAX($D83,N$3),_xlpm.fin,MIN($E83,N$4),_xlpm.feriados,IF($H83="CO",FER_CO,FER_EC),_xlpm.dias,IF(_xlpm.inicio&gt;_xlpm.fin,0,NETWORKDAYS(_xlpm.inicio,_xlpm.fin,_xlpm.feriados)),_xlpm.factor,IF($G83="Probable",IF(Parametros!$B$6="Sí",1,0),1),IF(OR($A83="",$D83="",$E83=""),0,_xlpm.dias*$I83*_xlpm.factor))</f>
        <v/>
      </c>
      <c r="O83" s="33">
        <f>_xlfn.LET(_xlpm.inicio,MAX($D83,O$3),_xlpm.fin,MIN($E83,O$4),_xlpm.feriados,IF($H83="CO",FER_CO,FER_EC),_xlpm.dias,IF(_xlpm.inicio&gt;_xlpm.fin,0,NETWORKDAYS(_xlpm.inicio,_xlpm.fin,_xlpm.feriados)),_xlpm.factor,IF($G83="Probable",IF(Parametros!$B$6="Sí",1,0),1),IF(OR($A83="",$D83="",$E83=""),0,_xlpm.dias*$I83*_xlpm.factor))</f>
        <v/>
      </c>
      <c r="P83" s="34">
        <f>_xlfn.LET(_xlpm.horas,J83,_xlpm.feriados,IF($H83="CO",FER_CO,FER_EC),_xlpm.capacidad,NETWORKDAYS(J$3,J$4,_xlpm.feriados)*INDEX(Consultores!$C$6:$C$65,MATCH($A83,Consultores!$A$6:$A$65,0)),IF(_xlpm.horas=0,"",IFERROR(_xlpm.horas/_xlpm.capacidad,"")))</f>
        <v/>
      </c>
      <c r="Q83" s="34">
        <f>_xlfn.LET(_xlpm.horas,K83,_xlpm.feriados,IF($H83="CO",FER_CO,FER_EC),_xlpm.capacidad,NETWORKDAYS(K$3,K$4,_xlpm.feriados)*INDEX(Consultores!$C$6:$C$65,MATCH($A83,Consultores!$A$6:$A$65,0)),IF(_xlpm.horas=0,"",IFERROR(_xlpm.horas/_xlpm.capacidad,"")))</f>
        <v/>
      </c>
      <c r="R83" s="34">
        <f>_xlfn.LET(_xlpm.horas,L83,_xlpm.feriados,IF($H83="CO",FER_CO,FER_EC),_xlpm.capacidad,NETWORKDAYS(L$3,L$4,_xlpm.feriados)*INDEX(Consultores!$C$6:$C$65,MATCH($A83,Consultores!$A$6:$A$65,0)),IF(_xlpm.horas=0,"",IFERROR(_xlpm.horas/_xlpm.capacidad,"")))</f>
        <v/>
      </c>
      <c r="S83" s="34">
        <f>_xlfn.LET(_xlpm.horas,M83,_xlpm.feriados,IF($H83="CO",FER_CO,FER_EC),_xlpm.capacidad,NETWORKDAYS(M$3,M$4,_xlpm.feriados)*INDEX(Consultores!$C$6:$C$65,MATCH($A83,Consultores!$A$6:$A$65,0)),IF(_xlpm.horas=0,"",IFERROR(_xlpm.horas/_xlpm.capacidad,"")))</f>
        <v/>
      </c>
      <c r="T83" s="34">
        <f>_xlfn.LET(_xlpm.horas,N83,_xlpm.feriados,IF($H83="CO",FER_CO,FER_EC),_xlpm.capacidad,NETWORKDAYS(N$3,N$4,_xlpm.feriados)*INDEX(Consultores!$C$6:$C$65,MATCH($A83,Consultores!$A$6:$A$65,0)),IF(_xlpm.horas=0,"",IFERROR(_xlpm.horas/_xlpm.capacidad,"")))</f>
        <v/>
      </c>
      <c r="U83" s="34">
        <f>_xlfn.LET(_xlpm.horas,O83,_xlpm.feriados,IF($H83="CO",FER_CO,FER_EC),_xlpm.capacidad,NETWORKDAYS(O$3,O$4,_xlpm.feriados)*INDEX(Consultores!$C$6:$C$65,MATCH($A83,Consultores!$A$6:$A$65,0)),IF(_xlpm.horas=0,"",IFERROR(_xlpm.horas/_xlpm.capacidad,"")))</f>
        <v/>
      </c>
    </row>
    <row r="84">
      <c r="A84" s="25" t="n"/>
      <c r="B84" s="25" t="n"/>
      <c r="C84" s="25" t="n"/>
      <c r="D84" s="30" t="n"/>
      <c r="E84" s="30" t="n"/>
      <c r="F84" s="26" t="n"/>
      <c r="G84" s="25" t="n"/>
      <c r="H84" s="31">
        <f>IF($A84="","",IFERROR(INDEX(Consultores!$B$6:$B$65,MATCH($A84,Consultores!$A$6:$A$65,0)),"No existe"))</f>
        <v/>
      </c>
      <c r="I84" s="32">
        <f>IF($F84="",0,$F84/5)</f>
        <v/>
      </c>
      <c r="J84" s="33">
        <f>_xlfn.LET(_xlpm.inicio,MAX($D84,J$3),_xlpm.fin,MIN($E84,J$4),_xlpm.feriados,IF($H84="CO",FER_CO,FER_EC),_xlpm.dias,IF(_xlpm.inicio&gt;_xlpm.fin,0,NETWORKDAYS(_xlpm.inicio,_xlpm.fin,_xlpm.feriados)),_xlpm.factor,IF($G84="Probable",IF(Parametros!$B$6="Sí",1,0),1),IF(OR($A84="",$D84="",$E84=""),0,_xlpm.dias*$I84*_xlpm.factor))</f>
        <v/>
      </c>
      <c r="K84" s="33">
        <f>_xlfn.LET(_xlpm.inicio,MAX($D84,K$3),_xlpm.fin,MIN($E84,K$4),_xlpm.feriados,IF($H84="CO",FER_CO,FER_EC),_xlpm.dias,IF(_xlpm.inicio&gt;_xlpm.fin,0,NETWORKDAYS(_xlpm.inicio,_xlpm.fin,_xlpm.feriados)),_xlpm.factor,IF($G84="Probable",IF(Parametros!$B$6="Sí",1,0),1),IF(OR($A84="",$D84="",$E84=""),0,_xlpm.dias*$I84*_xlpm.factor))</f>
        <v/>
      </c>
      <c r="L84" s="33">
        <f>_xlfn.LET(_xlpm.inicio,MAX($D84,L$3),_xlpm.fin,MIN($E84,L$4),_xlpm.feriados,IF($H84="CO",FER_CO,FER_EC),_xlpm.dias,IF(_xlpm.inicio&gt;_xlpm.fin,0,NETWORKDAYS(_xlpm.inicio,_xlpm.fin,_xlpm.feriados)),_xlpm.factor,IF($G84="Probable",IF(Parametros!$B$6="Sí",1,0),1),IF(OR($A84="",$D84="",$E84=""),0,_xlpm.dias*$I84*_xlpm.factor))</f>
        <v/>
      </c>
      <c r="M84" s="33">
        <f>_xlfn.LET(_xlpm.inicio,MAX($D84,M$3),_xlpm.fin,MIN($E84,M$4),_xlpm.feriados,IF($H84="CO",FER_CO,FER_EC),_xlpm.dias,IF(_xlpm.inicio&gt;_xlpm.fin,0,NETWORKDAYS(_xlpm.inicio,_xlpm.fin,_xlpm.feriados)),_xlpm.factor,IF($G84="Probable",IF(Parametros!$B$6="Sí",1,0),1),IF(OR($A84="",$D84="",$E84=""),0,_xlpm.dias*$I84*_xlpm.factor))</f>
        <v/>
      </c>
      <c r="N84" s="33">
        <f>_xlfn.LET(_xlpm.inicio,MAX($D84,N$3),_xlpm.fin,MIN($E84,N$4),_xlpm.feriados,IF($H84="CO",FER_CO,FER_EC),_xlpm.dias,IF(_xlpm.inicio&gt;_xlpm.fin,0,NETWORKDAYS(_xlpm.inicio,_xlpm.fin,_xlpm.feriados)),_xlpm.factor,IF($G84="Probable",IF(Parametros!$B$6="Sí",1,0),1),IF(OR($A84="",$D84="",$E84=""),0,_xlpm.dias*$I84*_xlpm.factor))</f>
        <v/>
      </c>
      <c r="O84" s="33">
        <f>_xlfn.LET(_xlpm.inicio,MAX($D84,O$3),_xlpm.fin,MIN($E84,O$4),_xlpm.feriados,IF($H84="CO",FER_CO,FER_EC),_xlpm.dias,IF(_xlpm.inicio&gt;_xlpm.fin,0,NETWORKDAYS(_xlpm.inicio,_xlpm.fin,_xlpm.feriados)),_xlpm.factor,IF($G84="Probable",IF(Parametros!$B$6="Sí",1,0),1),IF(OR($A84="",$D84="",$E84=""),0,_xlpm.dias*$I84*_xlpm.factor))</f>
        <v/>
      </c>
      <c r="P84" s="34">
        <f>_xlfn.LET(_xlpm.horas,J84,_xlpm.feriados,IF($H84="CO",FER_CO,FER_EC),_xlpm.capacidad,NETWORKDAYS(J$3,J$4,_xlpm.feriados)*INDEX(Consultores!$C$6:$C$65,MATCH($A84,Consultores!$A$6:$A$65,0)),IF(_xlpm.horas=0,"",IFERROR(_xlpm.horas/_xlpm.capacidad,"")))</f>
        <v/>
      </c>
      <c r="Q84" s="34">
        <f>_xlfn.LET(_xlpm.horas,K84,_xlpm.feriados,IF($H84="CO",FER_CO,FER_EC),_xlpm.capacidad,NETWORKDAYS(K$3,K$4,_xlpm.feriados)*INDEX(Consultores!$C$6:$C$65,MATCH($A84,Consultores!$A$6:$A$65,0)),IF(_xlpm.horas=0,"",IFERROR(_xlpm.horas/_xlpm.capacidad,"")))</f>
        <v/>
      </c>
      <c r="R84" s="34">
        <f>_xlfn.LET(_xlpm.horas,L84,_xlpm.feriados,IF($H84="CO",FER_CO,FER_EC),_xlpm.capacidad,NETWORKDAYS(L$3,L$4,_xlpm.feriados)*INDEX(Consultores!$C$6:$C$65,MATCH($A84,Consultores!$A$6:$A$65,0)),IF(_xlpm.horas=0,"",IFERROR(_xlpm.horas/_xlpm.capacidad,"")))</f>
        <v/>
      </c>
      <c r="S84" s="34">
        <f>_xlfn.LET(_xlpm.horas,M84,_xlpm.feriados,IF($H84="CO",FER_CO,FER_EC),_xlpm.capacidad,NETWORKDAYS(M$3,M$4,_xlpm.feriados)*INDEX(Consultores!$C$6:$C$65,MATCH($A84,Consultores!$A$6:$A$65,0)),IF(_xlpm.horas=0,"",IFERROR(_xlpm.horas/_xlpm.capacidad,"")))</f>
        <v/>
      </c>
      <c r="T84" s="34">
        <f>_xlfn.LET(_xlpm.horas,N84,_xlpm.feriados,IF($H84="CO",FER_CO,FER_EC),_xlpm.capacidad,NETWORKDAYS(N$3,N$4,_xlpm.feriados)*INDEX(Consultores!$C$6:$C$65,MATCH($A84,Consultores!$A$6:$A$65,0)),IF(_xlpm.horas=0,"",IFERROR(_xlpm.horas/_xlpm.capacidad,"")))</f>
        <v/>
      </c>
      <c r="U84" s="34">
        <f>_xlfn.LET(_xlpm.horas,O84,_xlpm.feriados,IF($H84="CO",FER_CO,FER_EC),_xlpm.capacidad,NETWORKDAYS(O$3,O$4,_xlpm.feriados)*INDEX(Consultores!$C$6:$C$65,MATCH($A84,Consultores!$A$6:$A$65,0)),IF(_xlpm.horas=0,"",IFERROR(_xlpm.horas/_xlpm.capacidad,"")))</f>
        <v/>
      </c>
    </row>
    <row r="85">
      <c r="A85" s="25" t="n"/>
      <c r="B85" s="25" t="n"/>
      <c r="C85" s="25" t="n"/>
      <c r="D85" s="30" t="n"/>
      <c r="E85" s="30" t="n"/>
      <c r="F85" s="26" t="n"/>
      <c r="G85" s="25" t="n"/>
      <c r="H85" s="31">
        <f>IF($A85="","",IFERROR(INDEX(Consultores!$B$6:$B$65,MATCH($A85,Consultores!$A$6:$A$65,0)),"No existe"))</f>
        <v/>
      </c>
      <c r="I85" s="32">
        <f>IF($F85="",0,$F85/5)</f>
        <v/>
      </c>
      <c r="J85" s="33">
        <f>_xlfn.LET(_xlpm.inicio,MAX($D85,J$3),_xlpm.fin,MIN($E85,J$4),_xlpm.feriados,IF($H85="CO",FER_CO,FER_EC),_xlpm.dias,IF(_xlpm.inicio&gt;_xlpm.fin,0,NETWORKDAYS(_xlpm.inicio,_xlpm.fin,_xlpm.feriados)),_xlpm.factor,IF($G85="Probable",IF(Parametros!$B$6="Sí",1,0),1),IF(OR($A85="",$D85="",$E85=""),0,_xlpm.dias*$I85*_xlpm.factor))</f>
        <v/>
      </c>
      <c r="K85" s="33">
        <f>_xlfn.LET(_xlpm.inicio,MAX($D85,K$3),_xlpm.fin,MIN($E85,K$4),_xlpm.feriados,IF($H85="CO",FER_CO,FER_EC),_xlpm.dias,IF(_xlpm.inicio&gt;_xlpm.fin,0,NETWORKDAYS(_xlpm.inicio,_xlpm.fin,_xlpm.feriados)),_xlpm.factor,IF($G85="Probable",IF(Parametros!$B$6="Sí",1,0),1),IF(OR($A85="",$D85="",$E85=""),0,_xlpm.dias*$I85*_xlpm.factor))</f>
        <v/>
      </c>
      <c r="L85" s="33">
        <f>_xlfn.LET(_xlpm.inicio,MAX($D85,L$3),_xlpm.fin,MIN($E85,L$4),_xlpm.feriados,IF($H85="CO",FER_CO,FER_EC),_xlpm.dias,IF(_xlpm.inicio&gt;_xlpm.fin,0,NETWORKDAYS(_xlpm.inicio,_xlpm.fin,_xlpm.feriados)),_xlpm.factor,IF($G85="Probable",IF(Parametros!$B$6="Sí",1,0),1),IF(OR($A85="",$D85="",$E85=""),0,_xlpm.dias*$I85*_xlpm.factor))</f>
        <v/>
      </c>
      <c r="M85" s="33">
        <f>_xlfn.LET(_xlpm.inicio,MAX($D85,M$3),_xlpm.fin,MIN($E85,M$4),_xlpm.feriados,IF($H85="CO",FER_CO,FER_EC),_xlpm.dias,IF(_xlpm.inicio&gt;_xlpm.fin,0,NETWORKDAYS(_xlpm.inicio,_xlpm.fin,_xlpm.feriados)),_xlpm.factor,IF($G85="Probable",IF(Parametros!$B$6="Sí",1,0),1),IF(OR($A85="",$D85="",$E85=""),0,_xlpm.dias*$I85*_xlpm.factor))</f>
        <v/>
      </c>
      <c r="N85" s="33">
        <f>_xlfn.LET(_xlpm.inicio,MAX($D85,N$3),_xlpm.fin,MIN($E85,N$4),_xlpm.feriados,IF($H85="CO",FER_CO,FER_EC),_xlpm.dias,IF(_xlpm.inicio&gt;_xlpm.fin,0,NETWORKDAYS(_xlpm.inicio,_xlpm.fin,_xlpm.feriados)),_xlpm.factor,IF($G85="Probable",IF(Parametros!$B$6="Sí",1,0),1),IF(OR($A85="",$D85="",$E85=""),0,_xlpm.dias*$I85*_xlpm.factor))</f>
        <v/>
      </c>
      <c r="O85" s="33">
        <f>_xlfn.LET(_xlpm.inicio,MAX($D85,O$3),_xlpm.fin,MIN($E85,O$4),_xlpm.feriados,IF($H85="CO",FER_CO,FER_EC),_xlpm.dias,IF(_xlpm.inicio&gt;_xlpm.fin,0,NETWORKDAYS(_xlpm.inicio,_xlpm.fin,_xlpm.feriados)),_xlpm.factor,IF($G85="Probable",IF(Parametros!$B$6="Sí",1,0),1),IF(OR($A85="",$D85="",$E85=""),0,_xlpm.dias*$I85*_xlpm.factor))</f>
        <v/>
      </c>
      <c r="P85" s="34">
        <f>_xlfn.LET(_xlpm.horas,J85,_xlpm.feriados,IF($H85="CO",FER_CO,FER_EC),_xlpm.capacidad,NETWORKDAYS(J$3,J$4,_xlpm.feriados)*INDEX(Consultores!$C$6:$C$65,MATCH($A85,Consultores!$A$6:$A$65,0)),IF(_xlpm.horas=0,"",IFERROR(_xlpm.horas/_xlpm.capacidad,"")))</f>
        <v/>
      </c>
      <c r="Q85" s="34">
        <f>_xlfn.LET(_xlpm.horas,K85,_xlpm.feriados,IF($H85="CO",FER_CO,FER_EC),_xlpm.capacidad,NETWORKDAYS(K$3,K$4,_xlpm.feriados)*INDEX(Consultores!$C$6:$C$65,MATCH($A85,Consultores!$A$6:$A$65,0)),IF(_xlpm.horas=0,"",IFERROR(_xlpm.horas/_xlpm.capacidad,"")))</f>
        <v/>
      </c>
      <c r="R85" s="34">
        <f>_xlfn.LET(_xlpm.horas,L85,_xlpm.feriados,IF($H85="CO",FER_CO,FER_EC),_xlpm.capacidad,NETWORKDAYS(L$3,L$4,_xlpm.feriados)*INDEX(Consultores!$C$6:$C$65,MATCH($A85,Consultores!$A$6:$A$65,0)),IF(_xlpm.horas=0,"",IFERROR(_xlpm.horas/_xlpm.capacidad,"")))</f>
        <v/>
      </c>
      <c r="S85" s="34">
        <f>_xlfn.LET(_xlpm.horas,M85,_xlpm.feriados,IF($H85="CO",FER_CO,FER_EC),_xlpm.capacidad,NETWORKDAYS(M$3,M$4,_xlpm.feriados)*INDEX(Consultores!$C$6:$C$65,MATCH($A85,Consultores!$A$6:$A$65,0)),IF(_xlpm.horas=0,"",IFERROR(_xlpm.horas/_xlpm.capacidad,"")))</f>
        <v/>
      </c>
      <c r="T85" s="34">
        <f>_xlfn.LET(_xlpm.horas,N85,_xlpm.feriados,IF($H85="CO",FER_CO,FER_EC),_xlpm.capacidad,NETWORKDAYS(N$3,N$4,_xlpm.feriados)*INDEX(Consultores!$C$6:$C$65,MATCH($A85,Consultores!$A$6:$A$65,0)),IF(_xlpm.horas=0,"",IFERROR(_xlpm.horas/_xlpm.capacidad,"")))</f>
        <v/>
      </c>
      <c r="U85" s="34">
        <f>_xlfn.LET(_xlpm.horas,O85,_xlpm.feriados,IF($H85="CO",FER_CO,FER_EC),_xlpm.capacidad,NETWORKDAYS(O$3,O$4,_xlpm.feriados)*INDEX(Consultores!$C$6:$C$65,MATCH($A85,Consultores!$A$6:$A$65,0)),IF(_xlpm.horas=0,"",IFERROR(_xlpm.horas/_xlpm.capacidad,"")))</f>
        <v/>
      </c>
    </row>
    <row r="86">
      <c r="A86" s="25" t="n"/>
      <c r="B86" s="25" t="n"/>
      <c r="C86" s="25" t="n"/>
      <c r="D86" s="30" t="n"/>
      <c r="E86" s="30" t="n"/>
      <c r="F86" s="26" t="n"/>
      <c r="G86" s="25" t="n"/>
      <c r="H86" s="31">
        <f>IF($A86="","",IFERROR(INDEX(Consultores!$B$6:$B$65,MATCH($A86,Consultores!$A$6:$A$65,0)),"No existe"))</f>
        <v/>
      </c>
      <c r="I86" s="32">
        <f>IF($F86="",0,$F86/5)</f>
        <v/>
      </c>
      <c r="J86" s="33">
        <f>_xlfn.LET(_xlpm.inicio,MAX($D86,J$3),_xlpm.fin,MIN($E86,J$4),_xlpm.feriados,IF($H86="CO",FER_CO,FER_EC),_xlpm.dias,IF(_xlpm.inicio&gt;_xlpm.fin,0,NETWORKDAYS(_xlpm.inicio,_xlpm.fin,_xlpm.feriados)),_xlpm.factor,IF($G86="Probable",IF(Parametros!$B$6="Sí",1,0),1),IF(OR($A86="",$D86="",$E86=""),0,_xlpm.dias*$I86*_xlpm.factor))</f>
        <v/>
      </c>
      <c r="K86" s="33">
        <f>_xlfn.LET(_xlpm.inicio,MAX($D86,K$3),_xlpm.fin,MIN($E86,K$4),_xlpm.feriados,IF($H86="CO",FER_CO,FER_EC),_xlpm.dias,IF(_xlpm.inicio&gt;_xlpm.fin,0,NETWORKDAYS(_xlpm.inicio,_xlpm.fin,_xlpm.feriados)),_xlpm.factor,IF($G86="Probable",IF(Parametros!$B$6="Sí",1,0),1),IF(OR($A86="",$D86="",$E86=""),0,_xlpm.dias*$I86*_xlpm.factor))</f>
        <v/>
      </c>
      <c r="L86" s="33">
        <f>_xlfn.LET(_xlpm.inicio,MAX($D86,L$3),_xlpm.fin,MIN($E86,L$4),_xlpm.feriados,IF($H86="CO",FER_CO,FER_EC),_xlpm.dias,IF(_xlpm.inicio&gt;_xlpm.fin,0,NETWORKDAYS(_xlpm.inicio,_xlpm.fin,_xlpm.feriados)),_xlpm.factor,IF($G86="Probable",IF(Parametros!$B$6="Sí",1,0),1),IF(OR($A86="",$D86="",$E86=""),0,_xlpm.dias*$I86*_xlpm.factor))</f>
        <v/>
      </c>
      <c r="M86" s="33">
        <f>_xlfn.LET(_xlpm.inicio,MAX($D86,M$3),_xlpm.fin,MIN($E86,M$4),_xlpm.feriados,IF($H86="CO",FER_CO,FER_EC),_xlpm.dias,IF(_xlpm.inicio&gt;_xlpm.fin,0,NETWORKDAYS(_xlpm.inicio,_xlpm.fin,_xlpm.feriados)),_xlpm.factor,IF($G86="Probable",IF(Parametros!$B$6="Sí",1,0),1),IF(OR($A86="",$D86="",$E86=""),0,_xlpm.dias*$I86*_xlpm.factor))</f>
        <v/>
      </c>
      <c r="N86" s="33">
        <f>_xlfn.LET(_xlpm.inicio,MAX($D86,N$3),_xlpm.fin,MIN($E86,N$4),_xlpm.feriados,IF($H86="CO",FER_CO,FER_EC),_xlpm.dias,IF(_xlpm.inicio&gt;_xlpm.fin,0,NETWORKDAYS(_xlpm.inicio,_xlpm.fin,_xlpm.feriados)),_xlpm.factor,IF($G86="Probable",IF(Parametros!$B$6="Sí",1,0),1),IF(OR($A86="",$D86="",$E86=""),0,_xlpm.dias*$I86*_xlpm.factor))</f>
        <v/>
      </c>
      <c r="O86" s="33">
        <f>_xlfn.LET(_xlpm.inicio,MAX($D86,O$3),_xlpm.fin,MIN($E86,O$4),_xlpm.feriados,IF($H86="CO",FER_CO,FER_EC),_xlpm.dias,IF(_xlpm.inicio&gt;_xlpm.fin,0,NETWORKDAYS(_xlpm.inicio,_xlpm.fin,_xlpm.feriados)),_xlpm.factor,IF($G86="Probable",IF(Parametros!$B$6="Sí",1,0),1),IF(OR($A86="",$D86="",$E86=""),0,_xlpm.dias*$I86*_xlpm.factor))</f>
        <v/>
      </c>
      <c r="P86" s="34">
        <f>_xlfn.LET(_xlpm.horas,J86,_xlpm.feriados,IF($H86="CO",FER_CO,FER_EC),_xlpm.capacidad,NETWORKDAYS(J$3,J$4,_xlpm.feriados)*INDEX(Consultores!$C$6:$C$65,MATCH($A86,Consultores!$A$6:$A$65,0)),IF(_xlpm.horas=0,"",IFERROR(_xlpm.horas/_xlpm.capacidad,"")))</f>
        <v/>
      </c>
      <c r="Q86" s="34">
        <f>_xlfn.LET(_xlpm.horas,K86,_xlpm.feriados,IF($H86="CO",FER_CO,FER_EC),_xlpm.capacidad,NETWORKDAYS(K$3,K$4,_xlpm.feriados)*INDEX(Consultores!$C$6:$C$65,MATCH($A86,Consultores!$A$6:$A$65,0)),IF(_xlpm.horas=0,"",IFERROR(_xlpm.horas/_xlpm.capacidad,"")))</f>
        <v/>
      </c>
      <c r="R86" s="34">
        <f>_xlfn.LET(_xlpm.horas,L86,_xlpm.feriados,IF($H86="CO",FER_CO,FER_EC),_xlpm.capacidad,NETWORKDAYS(L$3,L$4,_xlpm.feriados)*INDEX(Consultores!$C$6:$C$65,MATCH($A86,Consultores!$A$6:$A$65,0)),IF(_xlpm.horas=0,"",IFERROR(_xlpm.horas/_xlpm.capacidad,"")))</f>
        <v/>
      </c>
      <c r="S86" s="34">
        <f>_xlfn.LET(_xlpm.horas,M86,_xlpm.feriados,IF($H86="CO",FER_CO,FER_EC),_xlpm.capacidad,NETWORKDAYS(M$3,M$4,_xlpm.feriados)*INDEX(Consultores!$C$6:$C$65,MATCH($A86,Consultores!$A$6:$A$65,0)),IF(_xlpm.horas=0,"",IFERROR(_xlpm.horas/_xlpm.capacidad,"")))</f>
        <v/>
      </c>
      <c r="T86" s="34">
        <f>_xlfn.LET(_xlpm.horas,N86,_xlpm.feriados,IF($H86="CO",FER_CO,FER_EC),_xlpm.capacidad,NETWORKDAYS(N$3,N$4,_xlpm.feriados)*INDEX(Consultores!$C$6:$C$65,MATCH($A86,Consultores!$A$6:$A$65,0)),IF(_xlpm.horas=0,"",IFERROR(_xlpm.horas/_xlpm.capacidad,"")))</f>
        <v/>
      </c>
      <c r="U86" s="34">
        <f>_xlfn.LET(_xlpm.horas,O86,_xlpm.feriados,IF($H86="CO",FER_CO,FER_EC),_xlpm.capacidad,NETWORKDAYS(O$3,O$4,_xlpm.feriados)*INDEX(Consultores!$C$6:$C$65,MATCH($A86,Consultores!$A$6:$A$65,0)),IF(_xlpm.horas=0,"",IFERROR(_xlpm.horas/_xlpm.capacidad,"")))</f>
        <v/>
      </c>
    </row>
    <row r="87">
      <c r="A87" s="25" t="n"/>
      <c r="B87" s="25" t="n"/>
      <c r="C87" s="25" t="n"/>
      <c r="D87" s="30" t="n"/>
      <c r="E87" s="30" t="n"/>
      <c r="F87" s="26" t="n"/>
      <c r="G87" s="25" t="n"/>
      <c r="H87" s="31">
        <f>IF($A87="","",IFERROR(INDEX(Consultores!$B$6:$B$65,MATCH($A87,Consultores!$A$6:$A$65,0)),"No existe"))</f>
        <v/>
      </c>
      <c r="I87" s="32">
        <f>IF($F87="",0,$F87/5)</f>
        <v/>
      </c>
      <c r="J87" s="33">
        <f>_xlfn.LET(_xlpm.inicio,MAX($D87,J$3),_xlpm.fin,MIN($E87,J$4),_xlpm.feriados,IF($H87="CO",FER_CO,FER_EC),_xlpm.dias,IF(_xlpm.inicio&gt;_xlpm.fin,0,NETWORKDAYS(_xlpm.inicio,_xlpm.fin,_xlpm.feriados)),_xlpm.factor,IF($G87="Probable",IF(Parametros!$B$6="Sí",1,0),1),IF(OR($A87="",$D87="",$E87=""),0,_xlpm.dias*$I87*_xlpm.factor))</f>
        <v/>
      </c>
      <c r="K87" s="33">
        <f>_xlfn.LET(_xlpm.inicio,MAX($D87,K$3),_xlpm.fin,MIN($E87,K$4),_xlpm.feriados,IF($H87="CO",FER_CO,FER_EC),_xlpm.dias,IF(_xlpm.inicio&gt;_xlpm.fin,0,NETWORKDAYS(_xlpm.inicio,_xlpm.fin,_xlpm.feriados)),_xlpm.factor,IF($G87="Probable",IF(Parametros!$B$6="Sí",1,0),1),IF(OR($A87="",$D87="",$E87=""),0,_xlpm.dias*$I87*_xlpm.factor))</f>
        <v/>
      </c>
      <c r="L87" s="33">
        <f>_xlfn.LET(_xlpm.inicio,MAX($D87,L$3),_xlpm.fin,MIN($E87,L$4),_xlpm.feriados,IF($H87="CO",FER_CO,FER_EC),_xlpm.dias,IF(_xlpm.inicio&gt;_xlpm.fin,0,NETWORKDAYS(_xlpm.inicio,_xlpm.fin,_xlpm.feriados)),_xlpm.factor,IF($G87="Probable",IF(Parametros!$B$6="Sí",1,0),1),IF(OR($A87="",$D87="",$E87=""),0,_xlpm.dias*$I87*_xlpm.factor))</f>
        <v/>
      </c>
      <c r="M87" s="33">
        <f>_xlfn.LET(_xlpm.inicio,MAX($D87,M$3),_xlpm.fin,MIN($E87,M$4),_xlpm.feriados,IF($H87="CO",FER_CO,FER_EC),_xlpm.dias,IF(_xlpm.inicio&gt;_xlpm.fin,0,NETWORKDAYS(_xlpm.inicio,_xlpm.fin,_xlpm.feriados)),_xlpm.factor,IF($G87="Probable",IF(Parametros!$B$6="Sí",1,0),1),IF(OR($A87="",$D87="",$E87=""),0,_xlpm.dias*$I87*_xlpm.factor))</f>
        <v/>
      </c>
      <c r="N87" s="33">
        <f>_xlfn.LET(_xlpm.inicio,MAX($D87,N$3),_xlpm.fin,MIN($E87,N$4),_xlpm.feriados,IF($H87="CO",FER_CO,FER_EC),_xlpm.dias,IF(_xlpm.inicio&gt;_xlpm.fin,0,NETWORKDAYS(_xlpm.inicio,_xlpm.fin,_xlpm.feriados)),_xlpm.factor,IF($G87="Probable",IF(Parametros!$B$6="Sí",1,0),1),IF(OR($A87="",$D87="",$E87=""),0,_xlpm.dias*$I87*_xlpm.factor))</f>
        <v/>
      </c>
      <c r="O87" s="33">
        <f>_xlfn.LET(_xlpm.inicio,MAX($D87,O$3),_xlpm.fin,MIN($E87,O$4),_xlpm.feriados,IF($H87="CO",FER_CO,FER_EC),_xlpm.dias,IF(_xlpm.inicio&gt;_xlpm.fin,0,NETWORKDAYS(_xlpm.inicio,_xlpm.fin,_xlpm.feriados)),_xlpm.factor,IF($G87="Probable",IF(Parametros!$B$6="Sí",1,0),1),IF(OR($A87="",$D87="",$E87=""),0,_xlpm.dias*$I87*_xlpm.factor))</f>
        <v/>
      </c>
      <c r="P87" s="34">
        <f>_xlfn.LET(_xlpm.horas,J87,_xlpm.feriados,IF($H87="CO",FER_CO,FER_EC),_xlpm.capacidad,NETWORKDAYS(J$3,J$4,_xlpm.feriados)*INDEX(Consultores!$C$6:$C$65,MATCH($A87,Consultores!$A$6:$A$65,0)),IF(_xlpm.horas=0,"",IFERROR(_xlpm.horas/_xlpm.capacidad,"")))</f>
        <v/>
      </c>
      <c r="Q87" s="34">
        <f>_xlfn.LET(_xlpm.horas,K87,_xlpm.feriados,IF($H87="CO",FER_CO,FER_EC),_xlpm.capacidad,NETWORKDAYS(K$3,K$4,_xlpm.feriados)*INDEX(Consultores!$C$6:$C$65,MATCH($A87,Consultores!$A$6:$A$65,0)),IF(_xlpm.horas=0,"",IFERROR(_xlpm.horas/_xlpm.capacidad,"")))</f>
        <v/>
      </c>
      <c r="R87" s="34">
        <f>_xlfn.LET(_xlpm.horas,L87,_xlpm.feriados,IF($H87="CO",FER_CO,FER_EC),_xlpm.capacidad,NETWORKDAYS(L$3,L$4,_xlpm.feriados)*INDEX(Consultores!$C$6:$C$65,MATCH($A87,Consultores!$A$6:$A$65,0)),IF(_xlpm.horas=0,"",IFERROR(_xlpm.horas/_xlpm.capacidad,"")))</f>
        <v/>
      </c>
      <c r="S87" s="34">
        <f>_xlfn.LET(_xlpm.horas,M87,_xlpm.feriados,IF($H87="CO",FER_CO,FER_EC),_xlpm.capacidad,NETWORKDAYS(M$3,M$4,_xlpm.feriados)*INDEX(Consultores!$C$6:$C$65,MATCH($A87,Consultores!$A$6:$A$65,0)),IF(_xlpm.horas=0,"",IFERROR(_xlpm.horas/_xlpm.capacidad,"")))</f>
        <v/>
      </c>
      <c r="T87" s="34">
        <f>_xlfn.LET(_xlpm.horas,N87,_xlpm.feriados,IF($H87="CO",FER_CO,FER_EC),_xlpm.capacidad,NETWORKDAYS(N$3,N$4,_xlpm.feriados)*INDEX(Consultores!$C$6:$C$65,MATCH($A87,Consultores!$A$6:$A$65,0)),IF(_xlpm.horas=0,"",IFERROR(_xlpm.horas/_xlpm.capacidad,"")))</f>
        <v/>
      </c>
      <c r="U87" s="34">
        <f>_xlfn.LET(_xlpm.horas,O87,_xlpm.feriados,IF($H87="CO",FER_CO,FER_EC),_xlpm.capacidad,NETWORKDAYS(O$3,O$4,_xlpm.feriados)*INDEX(Consultores!$C$6:$C$65,MATCH($A87,Consultores!$A$6:$A$65,0)),IF(_xlpm.horas=0,"",IFERROR(_xlpm.horas/_xlpm.capacidad,"")))</f>
        <v/>
      </c>
    </row>
    <row r="88">
      <c r="A88" s="25" t="n"/>
      <c r="B88" s="25" t="n"/>
      <c r="C88" s="25" t="n"/>
      <c r="D88" s="30" t="n"/>
      <c r="E88" s="30" t="n"/>
      <c r="F88" s="26" t="n"/>
      <c r="G88" s="25" t="n"/>
      <c r="H88" s="31">
        <f>IF($A88="","",IFERROR(INDEX(Consultores!$B$6:$B$65,MATCH($A88,Consultores!$A$6:$A$65,0)),"No existe"))</f>
        <v/>
      </c>
      <c r="I88" s="32">
        <f>IF($F88="",0,$F88/5)</f>
        <v/>
      </c>
      <c r="J88" s="33">
        <f>_xlfn.LET(_xlpm.inicio,MAX($D88,J$3),_xlpm.fin,MIN($E88,J$4),_xlpm.feriados,IF($H88="CO",FER_CO,FER_EC),_xlpm.dias,IF(_xlpm.inicio&gt;_xlpm.fin,0,NETWORKDAYS(_xlpm.inicio,_xlpm.fin,_xlpm.feriados)),_xlpm.factor,IF($G88="Probable",IF(Parametros!$B$6="Sí",1,0),1),IF(OR($A88="",$D88="",$E88=""),0,_xlpm.dias*$I88*_xlpm.factor))</f>
        <v/>
      </c>
      <c r="K88" s="33">
        <f>_xlfn.LET(_xlpm.inicio,MAX($D88,K$3),_xlpm.fin,MIN($E88,K$4),_xlpm.feriados,IF($H88="CO",FER_CO,FER_EC),_xlpm.dias,IF(_xlpm.inicio&gt;_xlpm.fin,0,NETWORKDAYS(_xlpm.inicio,_xlpm.fin,_xlpm.feriados)),_xlpm.factor,IF($G88="Probable",IF(Parametros!$B$6="Sí",1,0),1),IF(OR($A88="",$D88="",$E88=""),0,_xlpm.dias*$I88*_xlpm.factor))</f>
        <v/>
      </c>
      <c r="L88" s="33">
        <f>_xlfn.LET(_xlpm.inicio,MAX($D88,L$3),_xlpm.fin,MIN($E88,L$4),_xlpm.feriados,IF($H88="CO",FER_CO,FER_EC),_xlpm.dias,IF(_xlpm.inicio&gt;_xlpm.fin,0,NETWORKDAYS(_xlpm.inicio,_xlpm.fin,_xlpm.feriados)),_xlpm.factor,IF($G88="Probable",IF(Parametros!$B$6="Sí",1,0),1),IF(OR($A88="",$D88="",$E88=""),0,_xlpm.dias*$I88*_xlpm.factor))</f>
        <v/>
      </c>
      <c r="M88" s="33">
        <f>_xlfn.LET(_xlpm.inicio,MAX($D88,M$3),_xlpm.fin,MIN($E88,M$4),_xlpm.feriados,IF($H88="CO",FER_CO,FER_EC),_xlpm.dias,IF(_xlpm.inicio&gt;_xlpm.fin,0,NETWORKDAYS(_xlpm.inicio,_xlpm.fin,_xlpm.feriados)),_xlpm.factor,IF($G88="Probable",IF(Parametros!$B$6="Sí",1,0),1),IF(OR($A88="",$D88="",$E88=""),0,_xlpm.dias*$I88*_xlpm.factor))</f>
        <v/>
      </c>
      <c r="N88" s="33">
        <f>_xlfn.LET(_xlpm.inicio,MAX($D88,N$3),_xlpm.fin,MIN($E88,N$4),_xlpm.feriados,IF($H88="CO",FER_CO,FER_EC),_xlpm.dias,IF(_xlpm.inicio&gt;_xlpm.fin,0,NETWORKDAYS(_xlpm.inicio,_xlpm.fin,_xlpm.feriados)),_xlpm.factor,IF($G88="Probable",IF(Parametros!$B$6="Sí",1,0),1),IF(OR($A88="",$D88="",$E88=""),0,_xlpm.dias*$I88*_xlpm.factor))</f>
        <v/>
      </c>
      <c r="O88" s="33">
        <f>_xlfn.LET(_xlpm.inicio,MAX($D88,O$3),_xlpm.fin,MIN($E88,O$4),_xlpm.feriados,IF($H88="CO",FER_CO,FER_EC),_xlpm.dias,IF(_xlpm.inicio&gt;_xlpm.fin,0,NETWORKDAYS(_xlpm.inicio,_xlpm.fin,_xlpm.feriados)),_xlpm.factor,IF($G88="Probable",IF(Parametros!$B$6="Sí",1,0),1),IF(OR($A88="",$D88="",$E88=""),0,_xlpm.dias*$I88*_xlpm.factor))</f>
        <v/>
      </c>
      <c r="P88" s="34">
        <f>_xlfn.LET(_xlpm.horas,J88,_xlpm.feriados,IF($H88="CO",FER_CO,FER_EC),_xlpm.capacidad,NETWORKDAYS(J$3,J$4,_xlpm.feriados)*INDEX(Consultores!$C$6:$C$65,MATCH($A88,Consultores!$A$6:$A$65,0)),IF(_xlpm.horas=0,"",IFERROR(_xlpm.horas/_xlpm.capacidad,"")))</f>
        <v/>
      </c>
      <c r="Q88" s="34">
        <f>_xlfn.LET(_xlpm.horas,K88,_xlpm.feriados,IF($H88="CO",FER_CO,FER_EC),_xlpm.capacidad,NETWORKDAYS(K$3,K$4,_xlpm.feriados)*INDEX(Consultores!$C$6:$C$65,MATCH($A88,Consultores!$A$6:$A$65,0)),IF(_xlpm.horas=0,"",IFERROR(_xlpm.horas/_xlpm.capacidad,"")))</f>
        <v/>
      </c>
      <c r="R88" s="34">
        <f>_xlfn.LET(_xlpm.horas,L88,_xlpm.feriados,IF($H88="CO",FER_CO,FER_EC),_xlpm.capacidad,NETWORKDAYS(L$3,L$4,_xlpm.feriados)*INDEX(Consultores!$C$6:$C$65,MATCH($A88,Consultores!$A$6:$A$65,0)),IF(_xlpm.horas=0,"",IFERROR(_xlpm.horas/_xlpm.capacidad,"")))</f>
        <v/>
      </c>
      <c r="S88" s="34">
        <f>_xlfn.LET(_xlpm.horas,M88,_xlpm.feriados,IF($H88="CO",FER_CO,FER_EC),_xlpm.capacidad,NETWORKDAYS(M$3,M$4,_xlpm.feriados)*INDEX(Consultores!$C$6:$C$65,MATCH($A88,Consultores!$A$6:$A$65,0)),IF(_xlpm.horas=0,"",IFERROR(_xlpm.horas/_xlpm.capacidad,"")))</f>
        <v/>
      </c>
      <c r="T88" s="34">
        <f>_xlfn.LET(_xlpm.horas,N88,_xlpm.feriados,IF($H88="CO",FER_CO,FER_EC),_xlpm.capacidad,NETWORKDAYS(N$3,N$4,_xlpm.feriados)*INDEX(Consultores!$C$6:$C$65,MATCH($A88,Consultores!$A$6:$A$65,0)),IF(_xlpm.horas=0,"",IFERROR(_xlpm.horas/_xlpm.capacidad,"")))</f>
        <v/>
      </c>
      <c r="U88" s="34">
        <f>_xlfn.LET(_xlpm.horas,O88,_xlpm.feriados,IF($H88="CO",FER_CO,FER_EC),_xlpm.capacidad,NETWORKDAYS(O$3,O$4,_xlpm.feriados)*INDEX(Consultores!$C$6:$C$65,MATCH($A88,Consultores!$A$6:$A$65,0)),IF(_xlpm.horas=0,"",IFERROR(_xlpm.horas/_xlpm.capacidad,"")))</f>
        <v/>
      </c>
    </row>
    <row r="89">
      <c r="A89" s="25" t="n"/>
      <c r="B89" s="25" t="n"/>
      <c r="C89" s="25" t="n"/>
      <c r="D89" s="30" t="n"/>
      <c r="E89" s="30" t="n"/>
      <c r="F89" s="26" t="n"/>
      <c r="G89" s="25" t="n"/>
      <c r="H89" s="31">
        <f>IF($A89="","",IFERROR(INDEX(Consultores!$B$6:$B$65,MATCH($A89,Consultores!$A$6:$A$65,0)),"No existe"))</f>
        <v/>
      </c>
      <c r="I89" s="32">
        <f>IF($F89="",0,$F89/5)</f>
        <v/>
      </c>
      <c r="J89" s="33">
        <f>_xlfn.LET(_xlpm.inicio,MAX($D89,J$3),_xlpm.fin,MIN($E89,J$4),_xlpm.feriados,IF($H89="CO",FER_CO,FER_EC),_xlpm.dias,IF(_xlpm.inicio&gt;_xlpm.fin,0,NETWORKDAYS(_xlpm.inicio,_xlpm.fin,_xlpm.feriados)),_xlpm.factor,IF($G89="Probable",IF(Parametros!$B$6="Sí",1,0),1),IF(OR($A89="",$D89="",$E89=""),0,_xlpm.dias*$I89*_xlpm.factor))</f>
        <v/>
      </c>
      <c r="K89" s="33">
        <f>_xlfn.LET(_xlpm.inicio,MAX($D89,K$3),_xlpm.fin,MIN($E89,K$4),_xlpm.feriados,IF($H89="CO",FER_CO,FER_EC),_xlpm.dias,IF(_xlpm.inicio&gt;_xlpm.fin,0,NETWORKDAYS(_xlpm.inicio,_xlpm.fin,_xlpm.feriados)),_xlpm.factor,IF($G89="Probable",IF(Parametros!$B$6="Sí",1,0),1),IF(OR($A89="",$D89="",$E89=""),0,_xlpm.dias*$I89*_xlpm.factor))</f>
        <v/>
      </c>
      <c r="L89" s="33">
        <f>_xlfn.LET(_xlpm.inicio,MAX($D89,L$3),_xlpm.fin,MIN($E89,L$4),_xlpm.feriados,IF($H89="CO",FER_CO,FER_EC),_xlpm.dias,IF(_xlpm.inicio&gt;_xlpm.fin,0,NETWORKDAYS(_xlpm.inicio,_xlpm.fin,_xlpm.feriados)),_xlpm.factor,IF($G89="Probable",IF(Parametros!$B$6="Sí",1,0),1),IF(OR($A89="",$D89="",$E89=""),0,_xlpm.dias*$I89*_xlpm.factor))</f>
        <v/>
      </c>
      <c r="M89" s="33">
        <f>_xlfn.LET(_xlpm.inicio,MAX($D89,M$3),_xlpm.fin,MIN($E89,M$4),_xlpm.feriados,IF($H89="CO",FER_CO,FER_EC),_xlpm.dias,IF(_xlpm.inicio&gt;_xlpm.fin,0,NETWORKDAYS(_xlpm.inicio,_xlpm.fin,_xlpm.feriados)),_xlpm.factor,IF($G89="Probable",IF(Parametros!$B$6="Sí",1,0),1),IF(OR($A89="",$D89="",$E89=""),0,_xlpm.dias*$I89*_xlpm.factor))</f>
        <v/>
      </c>
      <c r="N89" s="33">
        <f>_xlfn.LET(_xlpm.inicio,MAX($D89,N$3),_xlpm.fin,MIN($E89,N$4),_xlpm.feriados,IF($H89="CO",FER_CO,FER_EC),_xlpm.dias,IF(_xlpm.inicio&gt;_xlpm.fin,0,NETWORKDAYS(_xlpm.inicio,_xlpm.fin,_xlpm.feriados)),_xlpm.factor,IF($G89="Probable",IF(Parametros!$B$6="Sí",1,0),1),IF(OR($A89="",$D89="",$E89=""),0,_xlpm.dias*$I89*_xlpm.factor))</f>
        <v/>
      </c>
      <c r="O89" s="33">
        <f>_xlfn.LET(_xlpm.inicio,MAX($D89,O$3),_xlpm.fin,MIN($E89,O$4),_xlpm.feriados,IF($H89="CO",FER_CO,FER_EC),_xlpm.dias,IF(_xlpm.inicio&gt;_xlpm.fin,0,NETWORKDAYS(_xlpm.inicio,_xlpm.fin,_xlpm.feriados)),_xlpm.factor,IF($G89="Probable",IF(Parametros!$B$6="Sí",1,0),1),IF(OR($A89="",$D89="",$E89=""),0,_xlpm.dias*$I89*_xlpm.factor))</f>
        <v/>
      </c>
      <c r="P89" s="34">
        <f>_xlfn.LET(_xlpm.horas,J89,_xlpm.feriados,IF($H89="CO",FER_CO,FER_EC),_xlpm.capacidad,NETWORKDAYS(J$3,J$4,_xlpm.feriados)*INDEX(Consultores!$C$6:$C$65,MATCH($A89,Consultores!$A$6:$A$65,0)),IF(_xlpm.horas=0,"",IFERROR(_xlpm.horas/_xlpm.capacidad,"")))</f>
        <v/>
      </c>
      <c r="Q89" s="34">
        <f>_xlfn.LET(_xlpm.horas,K89,_xlpm.feriados,IF($H89="CO",FER_CO,FER_EC),_xlpm.capacidad,NETWORKDAYS(K$3,K$4,_xlpm.feriados)*INDEX(Consultores!$C$6:$C$65,MATCH($A89,Consultores!$A$6:$A$65,0)),IF(_xlpm.horas=0,"",IFERROR(_xlpm.horas/_xlpm.capacidad,"")))</f>
        <v/>
      </c>
      <c r="R89" s="34">
        <f>_xlfn.LET(_xlpm.horas,L89,_xlpm.feriados,IF($H89="CO",FER_CO,FER_EC),_xlpm.capacidad,NETWORKDAYS(L$3,L$4,_xlpm.feriados)*INDEX(Consultores!$C$6:$C$65,MATCH($A89,Consultores!$A$6:$A$65,0)),IF(_xlpm.horas=0,"",IFERROR(_xlpm.horas/_xlpm.capacidad,"")))</f>
        <v/>
      </c>
      <c r="S89" s="34">
        <f>_xlfn.LET(_xlpm.horas,M89,_xlpm.feriados,IF($H89="CO",FER_CO,FER_EC),_xlpm.capacidad,NETWORKDAYS(M$3,M$4,_xlpm.feriados)*INDEX(Consultores!$C$6:$C$65,MATCH($A89,Consultores!$A$6:$A$65,0)),IF(_xlpm.horas=0,"",IFERROR(_xlpm.horas/_xlpm.capacidad,"")))</f>
        <v/>
      </c>
      <c r="T89" s="34">
        <f>_xlfn.LET(_xlpm.horas,N89,_xlpm.feriados,IF($H89="CO",FER_CO,FER_EC),_xlpm.capacidad,NETWORKDAYS(N$3,N$4,_xlpm.feriados)*INDEX(Consultores!$C$6:$C$65,MATCH($A89,Consultores!$A$6:$A$65,0)),IF(_xlpm.horas=0,"",IFERROR(_xlpm.horas/_xlpm.capacidad,"")))</f>
        <v/>
      </c>
      <c r="U89" s="34">
        <f>_xlfn.LET(_xlpm.horas,O89,_xlpm.feriados,IF($H89="CO",FER_CO,FER_EC),_xlpm.capacidad,NETWORKDAYS(O$3,O$4,_xlpm.feriados)*INDEX(Consultores!$C$6:$C$65,MATCH($A89,Consultores!$A$6:$A$65,0)),IF(_xlpm.horas=0,"",IFERROR(_xlpm.horas/_xlpm.capacidad,"")))</f>
        <v/>
      </c>
    </row>
    <row r="90">
      <c r="A90" s="25" t="n"/>
      <c r="B90" s="25" t="n"/>
      <c r="C90" s="25" t="n"/>
      <c r="D90" s="30" t="n"/>
      <c r="E90" s="30" t="n"/>
      <c r="F90" s="26" t="n"/>
      <c r="G90" s="25" t="n"/>
      <c r="H90" s="31">
        <f>IF($A90="","",IFERROR(INDEX(Consultores!$B$6:$B$65,MATCH($A90,Consultores!$A$6:$A$65,0)),"No existe"))</f>
        <v/>
      </c>
      <c r="I90" s="32">
        <f>IF($F90="",0,$F90/5)</f>
        <v/>
      </c>
      <c r="J90" s="33">
        <f>_xlfn.LET(_xlpm.inicio,MAX($D90,J$3),_xlpm.fin,MIN($E90,J$4),_xlpm.feriados,IF($H90="CO",FER_CO,FER_EC),_xlpm.dias,IF(_xlpm.inicio&gt;_xlpm.fin,0,NETWORKDAYS(_xlpm.inicio,_xlpm.fin,_xlpm.feriados)),_xlpm.factor,IF($G90="Probable",IF(Parametros!$B$6="Sí",1,0),1),IF(OR($A90="",$D90="",$E90=""),0,_xlpm.dias*$I90*_xlpm.factor))</f>
        <v/>
      </c>
      <c r="K90" s="33">
        <f>_xlfn.LET(_xlpm.inicio,MAX($D90,K$3),_xlpm.fin,MIN($E90,K$4),_xlpm.feriados,IF($H90="CO",FER_CO,FER_EC),_xlpm.dias,IF(_xlpm.inicio&gt;_xlpm.fin,0,NETWORKDAYS(_xlpm.inicio,_xlpm.fin,_xlpm.feriados)),_xlpm.factor,IF($G90="Probable",IF(Parametros!$B$6="Sí",1,0),1),IF(OR($A90="",$D90="",$E90=""),0,_xlpm.dias*$I90*_xlpm.factor))</f>
        <v/>
      </c>
      <c r="L90" s="33">
        <f>_xlfn.LET(_xlpm.inicio,MAX($D90,L$3),_xlpm.fin,MIN($E90,L$4),_xlpm.feriados,IF($H90="CO",FER_CO,FER_EC),_xlpm.dias,IF(_xlpm.inicio&gt;_xlpm.fin,0,NETWORKDAYS(_xlpm.inicio,_xlpm.fin,_xlpm.feriados)),_xlpm.factor,IF($G90="Probable",IF(Parametros!$B$6="Sí",1,0),1),IF(OR($A90="",$D90="",$E90=""),0,_xlpm.dias*$I90*_xlpm.factor))</f>
        <v/>
      </c>
      <c r="M90" s="33">
        <f>_xlfn.LET(_xlpm.inicio,MAX($D90,M$3),_xlpm.fin,MIN($E90,M$4),_xlpm.feriados,IF($H90="CO",FER_CO,FER_EC),_xlpm.dias,IF(_xlpm.inicio&gt;_xlpm.fin,0,NETWORKDAYS(_xlpm.inicio,_xlpm.fin,_xlpm.feriados)),_xlpm.factor,IF($G90="Probable",IF(Parametros!$B$6="Sí",1,0),1),IF(OR($A90="",$D90="",$E90=""),0,_xlpm.dias*$I90*_xlpm.factor))</f>
        <v/>
      </c>
      <c r="N90" s="33">
        <f>_xlfn.LET(_xlpm.inicio,MAX($D90,N$3),_xlpm.fin,MIN($E90,N$4),_xlpm.feriados,IF($H90="CO",FER_CO,FER_EC),_xlpm.dias,IF(_xlpm.inicio&gt;_xlpm.fin,0,NETWORKDAYS(_xlpm.inicio,_xlpm.fin,_xlpm.feriados)),_xlpm.factor,IF($G90="Probable",IF(Parametros!$B$6="Sí",1,0),1),IF(OR($A90="",$D90="",$E90=""),0,_xlpm.dias*$I90*_xlpm.factor))</f>
        <v/>
      </c>
      <c r="O90" s="33">
        <f>_xlfn.LET(_xlpm.inicio,MAX($D90,O$3),_xlpm.fin,MIN($E90,O$4),_xlpm.feriados,IF($H90="CO",FER_CO,FER_EC),_xlpm.dias,IF(_xlpm.inicio&gt;_xlpm.fin,0,NETWORKDAYS(_xlpm.inicio,_xlpm.fin,_xlpm.feriados)),_xlpm.factor,IF($G90="Probable",IF(Parametros!$B$6="Sí",1,0),1),IF(OR($A90="",$D90="",$E90=""),0,_xlpm.dias*$I90*_xlpm.factor))</f>
        <v/>
      </c>
      <c r="P90" s="34">
        <f>_xlfn.LET(_xlpm.horas,J90,_xlpm.feriados,IF($H90="CO",FER_CO,FER_EC),_xlpm.capacidad,NETWORKDAYS(J$3,J$4,_xlpm.feriados)*INDEX(Consultores!$C$6:$C$65,MATCH($A90,Consultores!$A$6:$A$65,0)),IF(_xlpm.horas=0,"",IFERROR(_xlpm.horas/_xlpm.capacidad,"")))</f>
        <v/>
      </c>
      <c r="Q90" s="34">
        <f>_xlfn.LET(_xlpm.horas,K90,_xlpm.feriados,IF($H90="CO",FER_CO,FER_EC),_xlpm.capacidad,NETWORKDAYS(K$3,K$4,_xlpm.feriados)*INDEX(Consultores!$C$6:$C$65,MATCH($A90,Consultores!$A$6:$A$65,0)),IF(_xlpm.horas=0,"",IFERROR(_xlpm.horas/_xlpm.capacidad,"")))</f>
        <v/>
      </c>
      <c r="R90" s="34">
        <f>_xlfn.LET(_xlpm.horas,L90,_xlpm.feriados,IF($H90="CO",FER_CO,FER_EC),_xlpm.capacidad,NETWORKDAYS(L$3,L$4,_xlpm.feriados)*INDEX(Consultores!$C$6:$C$65,MATCH($A90,Consultores!$A$6:$A$65,0)),IF(_xlpm.horas=0,"",IFERROR(_xlpm.horas/_xlpm.capacidad,"")))</f>
        <v/>
      </c>
      <c r="S90" s="34">
        <f>_xlfn.LET(_xlpm.horas,M90,_xlpm.feriados,IF($H90="CO",FER_CO,FER_EC),_xlpm.capacidad,NETWORKDAYS(M$3,M$4,_xlpm.feriados)*INDEX(Consultores!$C$6:$C$65,MATCH($A90,Consultores!$A$6:$A$65,0)),IF(_xlpm.horas=0,"",IFERROR(_xlpm.horas/_xlpm.capacidad,"")))</f>
        <v/>
      </c>
      <c r="T90" s="34">
        <f>_xlfn.LET(_xlpm.horas,N90,_xlpm.feriados,IF($H90="CO",FER_CO,FER_EC),_xlpm.capacidad,NETWORKDAYS(N$3,N$4,_xlpm.feriados)*INDEX(Consultores!$C$6:$C$65,MATCH($A90,Consultores!$A$6:$A$65,0)),IF(_xlpm.horas=0,"",IFERROR(_xlpm.horas/_xlpm.capacidad,"")))</f>
        <v/>
      </c>
      <c r="U90" s="34">
        <f>_xlfn.LET(_xlpm.horas,O90,_xlpm.feriados,IF($H90="CO",FER_CO,FER_EC),_xlpm.capacidad,NETWORKDAYS(O$3,O$4,_xlpm.feriados)*INDEX(Consultores!$C$6:$C$65,MATCH($A90,Consultores!$A$6:$A$65,0)),IF(_xlpm.horas=0,"",IFERROR(_xlpm.horas/_xlpm.capacidad,"")))</f>
        <v/>
      </c>
    </row>
    <row r="91">
      <c r="A91" s="25" t="n"/>
      <c r="B91" s="25" t="n"/>
      <c r="C91" s="25" t="n"/>
      <c r="D91" s="30" t="n"/>
      <c r="E91" s="30" t="n"/>
      <c r="F91" s="26" t="n"/>
      <c r="G91" s="25" t="n"/>
      <c r="H91" s="31">
        <f>IF($A91="","",IFERROR(INDEX(Consultores!$B$6:$B$65,MATCH($A91,Consultores!$A$6:$A$65,0)),"No existe"))</f>
        <v/>
      </c>
      <c r="I91" s="32">
        <f>IF($F91="",0,$F91/5)</f>
        <v/>
      </c>
      <c r="J91" s="33">
        <f>_xlfn.LET(_xlpm.inicio,MAX($D91,J$3),_xlpm.fin,MIN($E91,J$4),_xlpm.feriados,IF($H91="CO",FER_CO,FER_EC),_xlpm.dias,IF(_xlpm.inicio&gt;_xlpm.fin,0,NETWORKDAYS(_xlpm.inicio,_xlpm.fin,_xlpm.feriados)),_xlpm.factor,IF($G91="Probable",IF(Parametros!$B$6="Sí",1,0),1),IF(OR($A91="",$D91="",$E91=""),0,_xlpm.dias*$I91*_xlpm.factor))</f>
        <v/>
      </c>
      <c r="K91" s="33">
        <f>_xlfn.LET(_xlpm.inicio,MAX($D91,K$3),_xlpm.fin,MIN($E91,K$4),_xlpm.feriados,IF($H91="CO",FER_CO,FER_EC),_xlpm.dias,IF(_xlpm.inicio&gt;_xlpm.fin,0,NETWORKDAYS(_xlpm.inicio,_xlpm.fin,_xlpm.feriados)),_xlpm.factor,IF($G91="Probable",IF(Parametros!$B$6="Sí",1,0),1),IF(OR($A91="",$D91="",$E91=""),0,_xlpm.dias*$I91*_xlpm.factor))</f>
        <v/>
      </c>
      <c r="L91" s="33">
        <f>_xlfn.LET(_xlpm.inicio,MAX($D91,L$3),_xlpm.fin,MIN($E91,L$4),_xlpm.feriados,IF($H91="CO",FER_CO,FER_EC),_xlpm.dias,IF(_xlpm.inicio&gt;_xlpm.fin,0,NETWORKDAYS(_xlpm.inicio,_xlpm.fin,_xlpm.feriados)),_xlpm.factor,IF($G91="Probable",IF(Parametros!$B$6="Sí",1,0),1),IF(OR($A91="",$D91="",$E91=""),0,_xlpm.dias*$I91*_xlpm.factor))</f>
        <v/>
      </c>
      <c r="M91" s="33">
        <f>_xlfn.LET(_xlpm.inicio,MAX($D91,M$3),_xlpm.fin,MIN($E91,M$4),_xlpm.feriados,IF($H91="CO",FER_CO,FER_EC),_xlpm.dias,IF(_xlpm.inicio&gt;_xlpm.fin,0,NETWORKDAYS(_xlpm.inicio,_xlpm.fin,_xlpm.feriados)),_xlpm.factor,IF($G91="Probable",IF(Parametros!$B$6="Sí",1,0),1),IF(OR($A91="",$D91="",$E91=""),0,_xlpm.dias*$I91*_xlpm.factor))</f>
        <v/>
      </c>
      <c r="N91" s="33">
        <f>_xlfn.LET(_xlpm.inicio,MAX($D91,N$3),_xlpm.fin,MIN($E91,N$4),_xlpm.feriados,IF($H91="CO",FER_CO,FER_EC),_xlpm.dias,IF(_xlpm.inicio&gt;_xlpm.fin,0,NETWORKDAYS(_xlpm.inicio,_xlpm.fin,_xlpm.feriados)),_xlpm.factor,IF($G91="Probable",IF(Parametros!$B$6="Sí",1,0),1),IF(OR($A91="",$D91="",$E91=""),0,_xlpm.dias*$I91*_xlpm.factor))</f>
        <v/>
      </c>
      <c r="O91" s="33">
        <f>_xlfn.LET(_xlpm.inicio,MAX($D91,O$3),_xlpm.fin,MIN($E91,O$4),_xlpm.feriados,IF($H91="CO",FER_CO,FER_EC),_xlpm.dias,IF(_xlpm.inicio&gt;_xlpm.fin,0,NETWORKDAYS(_xlpm.inicio,_xlpm.fin,_xlpm.feriados)),_xlpm.factor,IF($G91="Probable",IF(Parametros!$B$6="Sí",1,0),1),IF(OR($A91="",$D91="",$E91=""),0,_xlpm.dias*$I91*_xlpm.factor))</f>
        <v/>
      </c>
      <c r="P91" s="34">
        <f>_xlfn.LET(_xlpm.horas,J91,_xlpm.feriados,IF($H91="CO",FER_CO,FER_EC),_xlpm.capacidad,NETWORKDAYS(J$3,J$4,_xlpm.feriados)*INDEX(Consultores!$C$6:$C$65,MATCH($A91,Consultores!$A$6:$A$65,0)),IF(_xlpm.horas=0,"",IFERROR(_xlpm.horas/_xlpm.capacidad,"")))</f>
        <v/>
      </c>
      <c r="Q91" s="34">
        <f>_xlfn.LET(_xlpm.horas,K91,_xlpm.feriados,IF($H91="CO",FER_CO,FER_EC),_xlpm.capacidad,NETWORKDAYS(K$3,K$4,_xlpm.feriados)*INDEX(Consultores!$C$6:$C$65,MATCH($A91,Consultores!$A$6:$A$65,0)),IF(_xlpm.horas=0,"",IFERROR(_xlpm.horas/_xlpm.capacidad,"")))</f>
        <v/>
      </c>
      <c r="R91" s="34">
        <f>_xlfn.LET(_xlpm.horas,L91,_xlpm.feriados,IF($H91="CO",FER_CO,FER_EC),_xlpm.capacidad,NETWORKDAYS(L$3,L$4,_xlpm.feriados)*INDEX(Consultores!$C$6:$C$65,MATCH($A91,Consultores!$A$6:$A$65,0)),IF(_xlpm.horas=0,"",IFERROR(_xlpm.horas/_xlpm.capacidad,"")))</f>
        <v/>
      </c>
      <c r="S91" s="34">
        <f>_xlfn.LET(_xlpm.horas,M91,_xlpm.feriados,IF($H91="CO",FER_CO,FER_EC),_xlpm.capacidad,NETWORKDAYS(M$3,M$4,_xlpm.feriados)*INDEX(Consultores!$C$6:$C$65,MATCH($A91,Consultores!$A$6:$A$65,0)),IF(_xlpm.horas=0,"",IFERROR(_xlpm.horas/_xlpm.capacidad,"")))</f>
        <v/>
      </c>
      <c r="T91" s="34">
        <f>_xlfn.LET(_xlpm.horas,N91,_xlpm.feriados,IF($H91="CO",FER_CO,FER_EC),_xlpm.capacidad,NETWORKDAYS(N$3,N$4,_xlpm.feriados)*INDEX(Consultores!$C$6:$C$65,MATCH($A91,Consultores!$A$6:$A$65,0)),IF(_xlpm.horas=0,"",IFERROR(_xlpm.horas/_xlpm.capacidad,"")))</f>
        <v/>
      </c>
      <c r="U91" s="34">
        <f>_xlfn.LET(_xlpm.horas,O91,_xlpm.feriados,IF($H91="CO",FER_CO,FER_EC),_xlpm.capacidad,NETWORKDAYS(O$3,O$4,_xlpm.feriados)*INDEX(Consultores!$C$6:$C$65,MATCH($A91,Consultores!$A$6:$A$65,0)),IF(_xlpm.horas=0,"",IFERROR(_xlpm.horas/_xlpm.capacidad,"")))</f>
        <v/>
      </c>
    </row>
    <row r="92">
      <c r="A92" s="25" t="n"/>
      <c r="B92" s="25" t="n"/>
      <c r="C92" s="25" t="n"/>
      <c r="D92" s="30" t="n"/>
      <c r="E92" s="30" t="n"/>
      <c r="F92" s="26" t="n"/>
      <c r="G92" s="25" t="n"/>
      <c r="H92" s="31">
        <f>IF($A92="","",IFERROR(INDEX(Consultores!$B$6:$B$65,MATCH($A92,Consultores!$A$6:$A$65,0)),"No existe"))</f>
        <v/>
      </c>
      <c r="I92" s="32">
        <f>IF($F92="",0,$F92/5)</f>
        <v/>
      </c>
      <c r="J92" s="33">
        <f>_xlfn.LET(_xlpm.inicio,MAX($D92,J$3),_xlpm.fin,MIN($E92,J$4),_xlpm.feriados,IF($H92="CO",FER_CO,FER_EC),_xlpm.dias,IF(_xlpm.inicio&gt;_xlpm.fin,0,NETWORKDAYS(_xlpm.inicio,_xlpm.fin,_xlpm.feriados)),_xlpm.factor,IF($G92="Probable",IF(Parametros!$B$6="Sí",1,0),1),IF(OR($A92="",$D92="",$E92=""),0,_xlpm.dias*$I92*_xlpm.factor))</f>
        <v/>
      </c>
      <c r="K92" s="33">
        <f>_xlfn.LET(_xlpm.inicio,MAX($D92,K$3),_xlpm.fin,MIN($E92,K$4),_xlpm.feriados,IF($H92="CO",FER_CO,FER_EC),_xlpm.dias,IF(_xlpm.inicio&gt;_xlpm.fin,0,NETWORKDAYS(_xlpm.inicio,_xlpm.fin,_xlpm.feriados)),_xlpm.factor,IF($G92="Probable",IF(Parametros!$B$6="Sí",1,0),1),IF(OR($A92="",$D92="",$E92=""),0,_xlpm.dias*$I92*_xlpm.factor))</f>
        <v/>
      </c>
      <c r="L92" s="33">
        <f>_xlfn.LET(_xlpm.inicio,MAX($D92,L$3),_xlpm.fin,MIN($E92,L$4),_xlpm.feriados,IF($H92="CO",FER_CO,FER_EC),_xlpm.dias,IF(_xlpm.inicio&gt;_xlpm.fin,0,NETWORKDAYS(_xlpm.inicio,_xlpm.fin,_xlpm.feriados)),_xlpm.factor,IF($G92="Probable",IF(Parametros!$B$6="Sí",1,0),1),IF(OR($A92="",$D92="",$E92=""),0,_xlpm.dias*$I92*_xlpm.factor))</f>
        <v/>
      </c>
      <c r="M92" s="33">
        <f>_xlfn.LET(_xlpm.inicio,MAX($D92,M$3),_xlpm.fin,MIN($E92,M$4),_xlpm.feriados,IF($H92="CO",FER_CO,FER_EC),_xlpm.dias,IF(_xlpm.inicio&gt;_xlpm.fin,0,NETWORKDAYS(_xlpm.inicio,_xlpm.fin,_xlpm.feriados)),_xlpm.factor,IF($G92="Probable",IF(Parametros!$B$6="Sí",1,0),1),IF(OR($A92="",$D92="",$E92=""),0,_xlpm.dias*$I92*_xlpm.factor))</f>
        <v/>
      </c>
      <c r="N92" s="33">
        <f>_xlfn.LET(_xlpm.inicio,MAX($D92,N$3),_xlpm.fin,MIN($E92,N$4),_xlpm.feriados,IF($H92="CO",FER_CO,FER_EC),_xlpm.dias,IF(_xlpm.inicio&gt;_xlpm.fin,0,NETWORKDAYS(_xlpm.inicio,_xlpm.fin,_xlpm.feriados)),_xlpm.factor,IF($G92="Probable",IF(Parametros!$B$6="Sí",1,0),1),IF(OR($A92="",$D92="",$E92=""),0,_xlpm.dias*$I92*_xlpm.factor))</f>
        <v/>
      </c>
      <c r="O92" s="33">
        <f>_xlfn.LET(_xlpm.inicio,MAX($D92,O$3),_xlpm.fin,MIN($E92,O$4),_xlpm.feriados,IF($H92="CO",FER_CO,FER_EC),_xlpm.dias,IF(_xlpm.inicio&gt;_xlpm.fin,0,NETWORKDAYS(_xlpm.inicio,_xlpm.fin,_xlpm.feriados)),_xlpm.factor,IF($G92="Probable",IF(Parametros!$B$6="Sí",1,0),1),IF(OR($A92="",$D92="",$E92=""),0,_xlpm.dias*$I92*_xlpm.factor))</f>
        <v/>
      </c>
      <c r="P92" s="34">
        <f>_xlfn.LET(_xlpm.horas,J92,_xlpm.feriados,IF($H92="CO",FER_CO,FER_EC),_xlpm.capacidad,NETWORKDAYS(J$3,J$4,_xlpm.feriados)*INDEX(Consultores!$C$6:$C$65,MATCH($A92,Consultores!$A$6:$A$65,0)),IF(_xlpm.horas=0,"",IFERROR(_xlpm.horas/_xlpm.capacidad,"")))</f>
        <v/>
      </c>
      <c r="Q92" s="34">
        <f>_xlfn.LET(_xlpm.horas,K92,_xlpm.feriados,IF($H92="CO",FER_CO,FER_EC),_xlpm.capacidad,NETWORKDAYS(K$3,K$4,_xlpm.feriados)*INDEX(Consultores!$C$6:$C$65,MATCH($A92,Consultores!$A$6:$A$65,0)),IF(_xlpm.horas=0,"",IFERROR(_xlpm.horas/_xlpm.capacidad,"")))</f>
        <v/>
      </c>
      <c r="R92" s="34">
        <f>_xlfn.LET(_xlpm.horas,L92,_xlpm.feriados,IF($H92="CO",FER_CO,FER_EC),_xlpm.capacidad,NETWORKDAYS(L$3,L$4,_xlpm.feriados)*INDEX(Consultores!$C$6:$C$65,MATCH($A92,Consultores!$A$6:$A$65,0)),IF(_xlpm.horas=0,"",IFERROR(_xlpm.horas/_xlpm.capacidad,"")))</f>
        <v/>
      </c>
      <c r="S92" s="34">
        <f>_xlfn.LET(_xlpm.horas,M92,_xlpm.feriados,IF($H92="CO",FER_CO,FER_EC),_xlpm.capacidad,NETWORKDAYS(M$3,M$4,_xlpm.feriados)*INDEX(Consultores!$C$6:$C$65,MATCH($A92,Consultores!$A$6:$A$65,0)),IF(_xlpm.horas=0,"",IFERROR(_xlpm.horas/_xlpm.capacidad,"")))</f>
        <v/>
      </c>
      <c r="T92" s="34">
        <f>_xlfn.LET(_xlpm.horas,N92,_xlpm.feriados,IF($H92="CO",FER_CO,FER_EC),_xlpm.capacidad,NETWORKDAYS(N$3,N$4,_xlpm.feriados)*INDEX(Consultores!$C$6:$C$65,MATCH($A92,Consultores!$A$6:$A$65,0)),IF(_xlpm.horas=0,"",IFERROR(_xlpm.horas/_xlpm.capacidad,"")))</f>
        <v/>
      </c>
      <c r="U92" s="34">
        <f>_xlfn.LET(_xlpm.horas,O92,_xlpm.feriados,IF($H92="CO",FER_CO,FER_EC),_xlpm.capacidad,NETWORKDAYS(O$3,O$4,_xlpm.feriados)*INDEX(Consultores!$C$6:$C$65,MATCH($A92,Consultores!$A$6:$A$65,0)),IF(_xlpm.horas=0,"",IFERROR(_xlpm.horas/_xlpm.capacidad,"")))</f>
        <v/>
      </c>
    </row>
    <row r="93">
      <c r="A93" s="25" t="n"/>
      <c r="B93" s="25" t="n"/>
      <c r="C93" s="25" t="n"/>
      <c r="D93" s="30" t="n"/>
      <c r="E93" s="30" t="n"/>
      <c r="F93" s="26" t="n"/>
      <c r="G93" s="25" t="n"/>
      <c r="H93" s="31">
        <f>IF($A93="","",IFERROR(INDEX(Consultores!$B$6:$B$65,MATCH($A93,Consultores!$A$6:$A$65,0)),"No existe"))</f>
        <v/>
      </c>
      <c r="I93" s="32">
        <f>IF($F93="",0,$F93/5)</f>
        <v/>
      </c>
      <c r="J93" s="33">
        <f>_xlfn.LET(_xlpm.inicio,MAX($D93,J$3),_xlpm.fin,MIN($E93,J$4),_xlpm.feriados,IF($H93="CO",FER_CO,FER_EC),_xlpm.dias,IF(_xlpm.inicio&gt;_xlpm.fin,0,NETWORKDAYS(_xlpm.inicio,_xlpm.fin,_xlpm.feriados)),_xlpm.factor,IF($G93="Probable",IF(Parametros!$B$6="Sí",1,0),1),IF(OR($A93="",$D93="",$E93=""),0,_xlpm.dias*$I93*_xlpm.factor))</f>
        <v/>
      </c>
      <c r="K93" s="33">
        <f>_xlfn.LET(_xlpm.inicio,MAX($D93,K$3),_xlpm.fin,MIN($E93,K$4),_xlpm.feriados,IF($H93="CO",FER_CO,FER_EC),_xlpm.dias,IF(_xlpm.inicio&gt;_xlpm.fin,0,NETWORKDAYS(_xlpm.inicio,_xlpm.fin,_xlpm.feriados)),_xlpm.factor,IF($G93="Probable",IF(Parametros!$B$6="Sí",1,0),1),IF(OR($A93="",$D93="",$E93=""),0,_xlpm.dias*$I93*_xlpm.factor))</f>
        <v/>
      </c>
      <c r="L93" s="33">
        <f>_xlfn.LET(_xlpm.inicio,MAX($D93,L$3),_xlpm.fin,MIN($E93,L$4),_xlpm.feriados,IF($H93="CO",FER_CO,FER_EC),_xlpm.dias,IF(_xlpm.inicio&gt;_xlpm.fin,0,NETWORKDAYS(_xlpm.inicio,_xlpm.fin,_xlpm.feriados)),_xlpm.factor,IF($G93="Probable",IF(Parametros!$B$6="Sí",1,0),1),IF(OR($A93="",$D93="",$E93=""),0,_xlpm.dias*$I93*_xlpm.factor))</f>
        <v/>
      </c>
      <c r="M93" s="33">
        <f>_xlfn.LET(_xlpm.inicio,MAX($D93,M$3),_xlpm.fin,MIN($E93,M$4),_xlpm.feriados,IF($H93="CO",FER_CO,FER_EC),_xlpm.dias,IF(_xlpm.inicio&gt;_xlpm.fin,0,NETWORKDAYS(_xlpm.inicio,_xlpm.fin,_xlpm.feriados)),_xlpm.factor,IF($G93="Probable",IF(Parametros!$B$6="Sí",1,0),1),IF(OR($A93="",$D93="",$E93=""),0,_xlpm.dias*$I93*_xlpm.factor))</f>
        <v/>
      </c>
      <c r="N93" s="33">
        <f>_xlfn.LET(_xlpm.inicio,MAX($D93,N$3),_xlpm.fin,MIN($E93,N$4),_xlpm.feriados,IF($H93="CO",FER_CO,FER_EC),_xlpm.dias,IF(_xlpm.inicio&gt;_xlpm.fin,0,NETWORKDAYS(_xlpm.inicio,_xlpm.fin,_xlpm.feriados)),_xlpm.factor,IF($G93="Probable",IF(Parametros!$B$6="Sí",1,0),1),IF(OR($A93="",$D93="",$E93=""),0,_xlpm.dias*$I93*_xlpm.factor))</f>
        <v/>
      </c>
      <c r="O93" s="33">
        <f>_xlfn.LET(_xlpm.inicio,MAX($D93,O$3),_xlpm.fin,MIN($E93,O$4),_xlpm.feriados,IF($H93="CO",FER_CO,FER_EC),_xlpm.dias,IF(_xlpm.inicio&gt;_xlpm.fin,0,NETWORKDAYS(_xlpm.inicio,_xlpm.fin,_xlpm.feriados)),_xlpm.factor,IF($G93="Probable",IF(Parametros!$B$6="Sí",1,0),1),IF(OR($A93="",$D93="",$E93=""),0,_xlpm.dias*$I93*_xlpm.factor))</f>
        <v/>
      </c>
      <c r="P93" s="34">
        <f>_xlfn.LET(_xlpm.horas,J93,_xlpm.feriados,IF($H93="CO",FER_CO,FER_EC),_xlpm.capacidad,NETWORKDAYS(J$3,J$4,_xlpm.feriados)*INDEX(Consultores!$C$6:$C$65,MATCH($A93,Consultores!$A$6:$A$65,0)),IF(_xlpm.horas=0,"",IFERROR(_xlpm.horas/_xlpm.capacidad,"")))</f>
        <v/>
      </c>
      <c r="Q93" s="34">
        <f>_xlfn.LET(_xlpm.horas,K93,_xlpm.feriados,IF($H93="CO",FER_CO,FER_EC),_xlpm.capacidad,NETWORKDAYS(K$3,K$4,_xlpm.feriados)*INDEX(Consultores!$C$6:$C$65,MATCH($A93,Consultores!$A$6:$A$65,0)),IF(_xlpm.horas=0,"",IFERROR(_xlpm.horas/_xlpm.capacidad,"")))</f>
        <v/>
      </c>
      <c r="R93" s="34">
        <f>_xlfn.LET(_xlpm.horas,L93,_xlpm.feriados,IF($H93="CO",FER_CO,FER_EC),_xlpm.capacidad,NETWORKDAYS(L$3,L$4,_xlpm.feriados)*INDEX(Consultores!$C$6:$C$65,MATCH($A93,Consultores!$A$6:$A$65,0)),IF(_xlpm.horas=0,"",IFERROR(_xlpm.horas/_xlpm.capacidad,"")))</f>
        <v/>
      </c>
      <c r="S93" s="34">
        <f>_xlfn.LET(_xlpm.horas,M93,_xlpm.feriados,IF($H93="CO",FER_CO,FER_EC),_xlpm.capacidad,NETWORKDAYS(M$3,M$4,_xlpm.feriados)*INDEX(Consultores!$C$6:$C$65,MATCH($A93,Consultores!$A$6:$A$65,0)),IF(_xlpm.horas=0,"",IFERROR(_xlpm.horas/_xlpm.capacidad,"")))</f>
        <v/>
      </c>
      <c r="T93" s="34">
        <f>_xlfn.LET(_xlpm.horas,N93,_xlpm.feriados,IF($H93="CO",FER_CO,FER_EC),_xlpm.capacidad,NETWORKDAYS(N$3,N$4,_xlpm.feriados)*INDEX(Consultores!$C$6:$C$65,MATCH($A93,Consultores!$A$6:$A$65,0)),IF(_xlpm.horas=0,"",IFERROR(_xlpm.horas/_xlpm.capacidad,"")))</f>
        <v/>
      </c>
      <c r="U93" s="34">
        <f>_xlfn.LET(_xlpm.horas,O93,_xlpm.feriados,IF($H93="CO",FER_CO,FER_EC),_xlpm.capacidad,NETWORKDAYS(O$3,O$4,_xlpm.feriados)*INDEX(Consultores!$C$6:$C$65,MATCH($A93,Consultores!$A$6:$A$65,0)),IF(_xlpm.horas=0,"",IFERROR(_xlpm.horas/_xlpm.capacidad,"")))</f>
        <v/>
      </c>
    </row>
    <row r="94">
      <c r="A94" s="25" t="n"/>
      <c r="B94" s="25" t="n"/>
      <c r="C94" s="25" t="n"/>
      <c r="D94" s="30" t="n"/>
      <c r="E94" s="30" t="n"/>
      <c r="F94" s="26" t="n"/>
      <c r="G94" s="25" t="n"/>
      <c r="H94" s="31">
        <f>IF($A94="","",IFERROR(INDEX(Consultores!$B$6:$B$65,MATCH($A94,Consultores!$A$6:$A$65,0)),"No existe"))</f>
        <v/>
      </c>
      <c r="I94" s="32">
        <f>IF($F94="",0,$F94/5)</f>
        <v/>
      </c>
      <c r="J94" s="33">
        <f>_xlfn.LET(_xlpm.inicio,MAX($D94,J$3),_xlpm.fin,MIN($E94,J$4),_xlpm.feriados,IF($H94="CO",FER_CO,FER_EC),_xlpm.dias,IF(_xlpm.inicio&gt;_xlpm.fin,0,NETWORKDAYS(_xlpm.inicio,_xlpm.fin,_xlpm.feriados)),_xlpm.factor,IF($G94="Probable",IF(Parametros!$B$6="Sí",1,0),1),IF(OR($A94="",$D94="",$E94=""),0,_xlpm.dias*$I94*_xlpm.factor))</f>
        <v/>
      </c>
      <c r="K94" s="33">
        <f>_xlfn.LET(_xlpm.inicio,MAX($D94,K$3),_xlpm.fin,MIN($E94,K$4),_xlpm.feriados,IF($H94="CO",FER_CO,FER_EC),_xlpm.dias,IF(_xlpm.inicio&gt;_xlpm.fin,0,NETWORKDAYS(_xlpm.inicio,_xlpm.fin,_xlpm.feriados)),_xlpm.factor,IF($G94="Probable",IF(Parametros!$B$6="Sí",1,0),1),IF(OR($A94="",$D94="",$E94=""),0,_xlpm.dias*$I94*_xlpm.factor))</f>
        <v/>
      </c>
      <c r="L94" s="33">
        <f>_xlfn.LET(_xlpm.inicio,MAX($D94,L$3),_xlpm.fin,MIN($E94,L$4),_xlpm.feriados,IF($H94="CO",FER_CO,FER_EC),_xlpm.dias,IF(_xlpm.inicio&gt;_xlpm.fin,0,NETWORKDAYS(_xlpm.inicio,_xlpm.fin,_xlpm.feriados)),_xlpm.factor,IF($G94="Probable",IF(Parametros!$B$6="Sí",1,0),1),IF(OR($A94="",$D94="",$E94=""),0,_xlpm.dias*$I94*_xlpm.factor))</f>
        <v/>
      </c>
      <c r="M94" s="33">
        <f>_xlfn.LET(_xlpm.inicio,MAX($D94,M$3),_xlpm.fin,MIN($E94,M$4),_xlpm.feriados,IF($H94="CO",FER_CO,FER_EC),_xlpm.dias,IF(_xlpm.inicio&gt;_xlpm.fin,0,NETWORKDAYS(_xlpm.inicio,_xlpm.fin,_xlpm.feriados)),_xlpm.factor,IF($G94="Probable",IF(Parametros!$B$6="Sí",1,0),1),IF(OR($A94="",$D94="",$E94=""),0,_xlpm.dias*$I94*_xlpm.factor))</f>
        <v/>
      </c>
      <c r="N94" s="33">
        <f>_xlfn.LET(_xlpm.inicio,MAX($D94,N$3),_xlpm.fin,MIN($E94,N$4),_xlpm.feriados,IF($H94="CO",FER_CO,FER_EC),_xlpm.dias,IF(_xlpm.inicio&gt;_xlpm.fin,0,NETWORKDAYS(_xlpm.inicio,_xlpm.fin,_xlpm.feriados)),_xlpm.factor,IF($G94="Probable",IF(Parametros!$B$6="Sí",1,0),1),IF(OR($A94="",$D94="",$E94=""),0,_xlpm.dias*$I94*_xlpm.factor))</f>
        <v/>
      </c>
      <c r="O94" s="33">
        <f>_xlfn.LET(_xlpm.inicio,MAX($D94,O$3),_xlpm.fin,MIN($E94,O$4),_xlpm.feriados,IF($H94="CO",FER_CO,FER_EC),_xlpm.dias,IF(_xlpm.inicio&gt;_xlpm.fin,0,NETWORKDAYS(_xlpm.inicio,_xlpm.fin,_xlpm.feriados)),_xlpm.factor,IF($G94="Probable",IF(Parametros!$B$6="Sí",1,0),1),IF(OR($A94="",$D94="",$E94=""),0,_xlpm.dias*$I94*_xlpm.factor))</f>
        <v/>
      </c>
      <c r="P94" s="34">
        <f>_xlfn.LET(_xlpm.horas,J94,_xlpm.feriados,IF($H94="CO",FER_CO,FER_EC),_xlpm.capacidad,NETWORKDAYS(J$3,J$4,_xlpm.feriados)*INDEX(Consultores!$C$6:$C$65,MATCH($A94,Consultores!$A$6:$A$65,0)),IF(_xlpm.horas=0,"",IFERROR(_xlpm.horas/_xlpm.capacidad,"")))</f>
        <v/>
      </c>
      <c r="Q94" s="34">
        <f>_xlfn.LET(_xlpm.horas,K94,_xlpm.feriados,IF($H94="CO",FER_CO,FER_EC),_xlpm.capacidad,NETWORKDAYS(K$3,K$4,_xlpm.feriados)*INDEX(Consultores!$C$6:$C$65,MATCH($A94,Consultores!$A$6:$A$65,0)),IF(_xlpm.horas=0,"",IFERROR(_xlpm.horas/_xlpm.capacidad,"")))</f>
        <v/>
      </c>
      <c r="R94" s="34">
        <f>_xlfn.LET(_xlpm.horas,L94,_xlpm.feriados,IF($H94="CO",FER_CO,FER_EC),_xlpm.capacidad,NETWORKDAYS(L$3,L$4,_xlpm.feriados)*INDEX(Consultores!$C$6:$C$65,MATCH($A94,Consultores!$A$6:$A$65,0)),IF(_xlpm.horas=0,"",IFERROR(_xlpm.horas/_xlpm.capacidad,"")))</f>
        <v/>
      </c>
      <c r="S94" s="34">
        <f>_xlfn.LET(_xlpm.horas,M94,_xlpm.feriados,IF($H94="CO",FER_CO,FER_EC),_xlpm.capacidad,NETWORKDAYS(M$3,M$4,_xlpm.feriados)*INDEX(Consultores!$C$6:$C$65,MATCH($A94,Consultores!$A$6:$A$65,0)),IF(_xlpm.horas=0,"",IFERROR(_xlpm.horas/_xlpm.capacidad,"")))</f>
        <v/>
      </c>
      <c r="T94" s="34">
        <f>_xlfn.LET(_xlpm.horas,N94,_xlpm.feriados,IF($H94="CO",FER_CO,FER_EC),_xlpm.capacidad,NETWORKDAYS(N$3,N$4,_xlpm.feriados)*INDEX(Consultores!$C$6:$C$65,MATCH($A94,Consultores!$A$6:$A$65,0)),IF(_xlpm.horas=0,"",IFERROR(_xlpm.horas/_xlpm.capacidad,"")))</f>
        <v/>
      </c>
      <c r="U94" s="34">
        <f>_xlfn.LET(_xlpm.horas,O94,_xlpm.feriados,IF($H94="CO",FER_CO,FER_EC),_xlpm.capacidad,NETWORKDAYS(O$3,O$4,_xlpm.feriados)*INDEX(Consultores!$C$6:$C$65,MATCH($A94,Consultores!$A$6:$A$65,0)),IF(_xlpm.horas=0,"",IFERROR(_xlpm.horas/_xlpm.capacidad,"")))</f>
        <v/>
      </c>
    </row>
    <row r="95">
      <c r="A95" s="25" t="n"/>
      <c r="B95" s="25" t="n"/>
      <c r="C95" s="25" t="n"/>
      <c r="D95" s="30" t="n"/>
      <c r="E95" s="30" t="n"/>
      <c r="F95" s="26" t="n"/>
      <c r="G95" s="25" t="n"/>
      <c r="H95" s="31">
        <f>IF($A95="","",IFERROR(INDEX(Consultores!$B$6:$B$65,MATCH($A95,Consultores!$A$6:$A$65,0)),"No existe"))</f>
        <v/>
      </c>
      <c r="I95" s="32">
        <f>IF($F95="",0,$F95/5)</f>
        <v/>
      </c>
      <c r="J95" s="33">
        <f>_xlfn.LET(_xlpm.inicio,MAX($D95,J$3),_xlpm.fin,MIN($E95,J$4),_xlpm.feriados,IF($H95="CO",FER_CO,FER_EC),_xlpm.dias,IF(_xlpm.inicio&gt;_xlpm.fin,0,NETWORKDAYS(_xlpm.inicio,_xlpm.fin,_xlpm.feriados)),_xlpm.factor,IF($G95="Probable",IF(Parametros!$B$6="Sí",1,0),1),IF(OR($A95="",$D95="",$E95=""),0,_xlpm.dias*$I95*_xlpm.factor))</f>
        <v/>
      </c>
      <c r="K95" s="33">
        <f>_xlfn.LET(_xlpm.inicio,MAX($D95,K$3),_xlpm.fin,MIN($E95,K$4),_xlpm.feriados,IF($H95="CO",FER_CO,FER_EC),_xlpm.dias,IF(_xlpm.inicio&gt;_xlpm.fin,0,NETWORKDAYS(_xlpm.inicio,_xlpm.fin,_xlpm.feriados)),_xlpm.factor,IF($G95="Probable",IF(Parametros!$B$6="Sí",1,0),1),IF(OR($A95="",$D95="",$E95=""),0,_xlpm.dias*$I95*_xlpm.factor))</f>
        <v/>
      </c>
      <c r="L95" s="33">
        <f>_xlfn.LET(_xlpm.inicio,MAX($D95,L$3),_xlpm.fin,MIN($E95,L$4),_xlpm.feriados,IF($H95="CO",FER_CO,FER_EC),_xlpm.dias,IF(_xlpm.inicio&gt;_xlpm.fin,0,NETWORKDAYS(_xlpm.inicio,_xlpm.fin,_xlpm.feriados)),_xlpm.factor,IF($G95="Probable",IF(Parametros!$B$6="Sí",1,0),1),IF(OR($A95="",$D95="",$E95=""),0,_xlpm.dias*$I95*_xlpm.factor))</f>
        <v/>
      </c>
      <c r="M95" s="33">
        <f>_xlfn.LET(_xlpm.inicio,MAX($D95,M$3),_xlpm.fin,MIN($E95,M$4),_xlpm.feriados,IF($H95="CO",FER_CO,FER_EC),_xlpm.dias,IF(_xlpm.inicio&gt;_xlpm.fin,0,NETWORKDAYS(_xlpm.inicio,_xlpm.fin,_xlpm.feriados)),_xlpm.factor,IF($G95="Probable",IF(Parametros!$B$6="Sí",1,0),1),IF(OR($A95="",$D95="",$E95=""),0,_xlpm.dias*$I95*_xlpm.factor))</f>
        <v/>
      </c>
      <c r="N95" s="33">
        <f>_xlfn.LET(_xlpm.inicio,MAX($D95,N$3),_xlpm.fin,MIN($E95,N$4),_xlpm.feriados,IF($H95="CO",FER_CO,FER_EC),_xlpm.dias,IF(_xlpm.inicio&gt;_xlpm.fin,0,NETWORKDAYS(_xlpm.inicio,_xlpm.fin,_xlpm.feriados)),_xlpm.factor,IF($G95="Probable",IF(Parametros!$B$6="Sí",1,0),1),IF(OR($A95="",$D95="",$E95=""),0,_xlpm.dias*$I95*_xlpm.factor))</f>
        <v/>
      </c>
      <c r="O95" s="33">
        <f>_xlfn.LET(_xlpm.inicio,MAX($D95,O$3),_xlpm.fin,MIN($E95,O$4),_xlpm.feriados,IF($H95="CO",FER_CO,FER_EC),_xlpm.dias,IF(_xlpm.inicio&gt;_xlpm.fin,0,NETWORKDAYS(_xlpm.inicio,_xlpm.fin,_xlpm.feriados)),_xlpm.factor,IF($G95="Probable",IF(Parametros!$B$6="Sí",1,0),1),IF(OR($A95="",$D95="",$E95=""),0,_xlpm.dias*$I95*_xlpm.factor))</f>
        <v/>
      </c>
      <c r="P95" s="34">
        <f>_xlfn.LET(_xlpm.horas,J95,_xlpm.feriados,IF($H95="CO",FER_CO,FER_EC),_xlpm.capacidad,NETWORKDAYS(J$3,J$4,_xlpm.feriados)*INDEX(Consultores!$C$6:$C$65,MATCH($A95,Consultores!$A$6:$A$65,0)),IF(_xlpm.horas=0,"",IFERROR(_xlpm.horas/_xlpm.capacidad,"")))</f>
        <v/>
      </c>
      <c r="Q95" s="34">
        <f>_xlfn.LET(_xlpm.horas,K95,_xlpm.feriados,IF($H95="CO",FER_CO,FER_EC),_xlpm.capacidad,NETWORKDAYS(K$3,K$4,_xlpm.feriados)*INDEX(Consultores!$C$6:$C$65,MATCH($A95,Consultores!$A$6:$A$65,0)),IF(_xlpm.horas=0,"",IFERROR(_xlpm.horas/_xlpm.capacidad,"")))</f>
        <v/>
      </c>
      <c r="R95" s="34">
        <f>_xlfn.LET(_xlpm.horas,L95,_xlpm.feriados,IF($H95="CO",FER_CO,FER_EC),_xlpm.capacidad,NETWORKDAYS(L$3,L$4,_xlpm.feriados)*INDEX(Consultores!$C$6:$C$65,MATCH($A95,Consultores!$A$6:$A$65,0)),IF(_xlpm.horas=0,"",IFERROR(_xlpm.horas/_xlpm.capacidad,"")))</f>
        <v/>
      </c>
      <c r="S95" s="34">
        <f>_xlfn.LET(_xlpm.horas,M95,_xlpm.feriados,IF($H95="CO",FER_CO,FER_EC),_xlpm.capacidad,NETWORKDAYS(M$3,M$4,_xlpm.feriados)*INDEX(Consultores!$C$6:$C$65,MATCH($A95,Consultores!$A$6:$A$65,0)),IF(_xlpm.horas=0,"",IFERROR(_xlpm.horas/_xlpm.capacidad,"")))</f>
        <v/>
      </c>
      <c r="T95" s="34">
        <f>_xlfn.LET(_xlpm.horas,N95,_xlpm.feriados,IF($H95="CO",FER_CO,FER_EC),_xlpm.capacidad,NETWORKDAYS(N$3,N$4,_xlpm.feriados)*INDEX(Consultores!$C$6:$C$65,MATCH($A95,Consultores!$A$6:$A$65,0)),IF(_xlpm.horas=0,"",IFERROR(_xlpm.horas/_xlpm.capacidad,"")))</f>
        <v/>
      </c>
      <c r="U95" s="34">
        <f>_xlfn.LET(_xlpm.horas,O95,_xlpm.feriados,IF($H95="CO",FER_CO,FER_EC),_xlpm.capacidad,NETWORKDAYS(O$3,O$4,_xlpm.feriados)*INDEX(Consultores!$C$6:$C$65,MATCH($A95,Consultores!$A$6:$A$65,0)),IF(_xlpm.horas=0,"",IFERROR(_xlpm.horas/_xlpm.capacidad,"")))</f>
        <v/>
      </c>
    </row>
    <row r="96">
      <c r="A96" s="25" t="n"/>
      <c r="B96" s="25" t="n"/>
      <c r="C96" s="25" t="n"/>
      <c r="D96" s="30" t="n"/>
      <c r="E96" s="30" t="n"/>
      <c r="F96" s="26" t="n"/>
      <c r="G96" s="25" t="n"/>
      <c r="H96" s="31">
        <f>IF($A96="","",IFERROR(INDEX(Consultores!$B$6:$B$65,MATCH($A96,Consultores!$A$6:$A$65,0)),"No existe"))</f>
        <v/>
      </c>
      <c r="I96" s="32">
        <f>IF($F96="",0,$F96/5)</f>
        <v/>
      </c>
      <c r="J96" s="33">
        <f>_xlfn.LET(_xlpm.inicio,MAX($D96,J$3),_xlpm.fin,MIN($E96,J$4),_xlpm.feriados,IF($H96="CO",FER_CO,FER_EC),_xlpm.dias,IF(_xlpm.inicio&gt;_xlpm.fin,0,NETWORKDAYS(_xlpm.inicio,_xlpm.fin,_xlpm.feriados)),_xlpm.factor,IF($G96="Probable",IF(Parametros!$B$6="Sí",1,0),1),IF(OR($A96="",$D96="",$E96=""),0,_xlpm.dias*$I96*_xlpm.factor))</f>
        <v/>
      </c>
      <c r="K96" s="33">
        <f>_xlfn.LET(_xlpm.inicio,MAX($D96,K$3),_xlpm.fin,MIN($E96,K$4),_xlpm.feriados,IF($H96="CO",FER_CO,FER_EC),_xlpm.dias,IF(_xlpm.inicio&gt;_xlpm.fin,0,NETWORKDAYS(_xlpm.inicio,_xlpm.fin,_xlpm.feriados)),_xlpm.factor,IF($G96="Probable",IF(Parametros!$B$6="Sí",1,0),1),IF(OR($A96="",$D96="",$E96=""),0,_xlpm.dias*$I96*_xlpm.factor))</f>
        <v/>
      </c>
      <c r="L96" s="33">
        <f>_xlfn.LET(_xlpm.inicio,MAX($D96,L$3),_xlpm.fin,MIN($E96,L$4),_xlpm.feriados,IF($H96="CO",FER_CO,FER_EC),_xlpm.dias,IF(_xlpm.inicio&gt;_xlpm.fin,0,NETWORKDAYS(_xlpm.inicio,_xlpm.fin,_xlpm.feriados)),_xlpm.factor,IF($G96="Probable",IF(Parametros!$B$6="Sí",1,0),1),IF(OR($A96="",$D96="",$E96=""),0,_xlpm.dias*$I96*_xlpm.factor))</f>
        <v/>
      </c>
      <c r="M96" s="33">
        <f>_xlfn.LET(_xlpm.inicio,MAX($D96,M$3),_xlpm.fin,MIN($E96,M$4),_xlpm.feriados,IF($H96="CO",FER_CO,FER_EC),_xlpm.dias,IF(_xlpm.inicio&gt;_xlpm.fin,0,NETWORKDAYS(_xlpm.inicio,_xlpm.fin,_xlpm.feriados)),_xlpm.factor,IF($G96="Probable",IF(Parametros!$B$6="Sí",1,0),1),IF(OR($A96="",$D96="",$E96=""),0,_xlpm.dias*$I96*_xlpm.factor))</f>
        <v/>
      </c>
      <c r="N96" s="33">
        <f>_xlfn.LET(_xlpm.inicio,MAX($D96,N$3),_xlpm.fin,MIN($E96,N$4),_xlpm.feriados,IF($H96="CO",FER_CO,FER_EC),_xlpm.dias,IF(_xlpm.inicio&gt;_xlpm.fin,0,NETWORKDAYS(_xlpm.inicio,_xlpm.fin,_xlpm.feriados)),_xlpm.factor,IF($G96="Probable",IF(Parametros!$B$6="Sí",1,0),1),IF(OR($A96="",$D96="",$E96=""),0,_xlpm.dias*$I96*_xlpm.factor))</f>
        <v/>
      </c>
      <c r="O96" s="33">
        <f>_xlfn.LET(_xlpm.inicio,MAX($D96,O$3),_xlpm.fin,MIN($E96,O$4),_xlpm.feriados,IF($H96="CO",FER_CO,FER_EC),_xlpm.dias,IF(_xlpm.inicio&gt;_xlpm.fin,0,NETWORKDAYS(_xlpm.inicio,_xlpm.fin,_xlpm.feriados)),_xlpm.factor,IF($G96="Probable",IF(Parametros!$B$6="Sí",1,0),1),IF(OR($A96="",$D96="",$E96=""),0,_xlpm.dias*$I96*_xlpm.factor))</f>
        <v/>
      </c>
      <c r="P96" s="34">
        <f>_xlfn.LET(_xlpm.horas,J96,_xlpm.feriados,IF($H96="CO",FER_CO,FER_EC),_xlpm.capacidad,NETWORKDAYS(J$3,J$4,_xlpm.feriados)*INDEX(Consultores!$C$6:$C$65,MATCH($A96,Consultores!$A$6:$A$65,0)),IF(_xlpm.horas=0,"",IFERROR(_xlpm.horas/_xlpm.capacidad,"")))</f>
        <v/>
      </c>
      <c r="Q96" s="34">
        <f>_xlfn.LET(_xlpm.horas,K96,_xlpm.feriados,IF($H96="CO",FER_CO,FER_EC),_xlpm.capacidad,NETWORKDAYS(K$3,K$4,_xlpm.feriados)*INDEX(Consultores!$C$6:$C$65,MATCH($A96,Consultores!$A$6:$A$65,0)),IF(_xlpm.horas=0,"",IFERROR(_xlpm.horas/_xlpm.capacidad,"")))</f>
        <v/>
      </c>
      <c r="R96" s="34">
        <f>_xlfn.LET(_xlpm.horas,L96,_xlpm.feriados,IF($H96="CO",FER_CO,FER_EC),_xlpm.capacidad,NETWORKDAYS(L$3,L$4,_xlpm.feriados)*INDEX(Consultores!$C$6:$C$65,MATCH($A96,Consultores!$A$6:$A$65,0)),IF(_xlpm.horas=0,"",IFERROR(_xlpm.horas/_xlpm.capacidad,"")))</f>
        <v/>
      </c>
      <c r="S96" s="34">
        <f>_xlfn.LET(_xlpm.horas,M96,_xlpm.feriados,IF($H96="CO",FER_CO,FER_EC),_xlpm.capacidad,NETWORKDAYS(M$3,M$4,_xlpm.feriados)*INDEX(Consultores!$C$6:$C$65,MATCH($A96,Consultores!$A$6:$A$65,0)),IF(_xlpm.horas=0,"",IFERROR(_xlpm.horas/_xlpm.capacidad,"")))</f>
        <v/>
      </c>
      <c r="T96" s="34">
        <f>_xlfn.LET(_xlpm.horas,N96,_xlpm.feriados,IF($H96="CO",FER_CO,FER_EC),_xlpm.capacidad,NETWORKDAYS(N$3,N$4,_xlpm.feriados)*INDEX(Consultores!$C$6:$C$65,MATCH($A96,Consultores!$A$6:$A$65,0)),IF(_xlpm.horas=0,"",IFERROR(_xlpm.horas/_xlpm.capacidad,"")))</f>
        <v/>
      </c>
      <c r="U96" s="34">
        <f>_xlfn.LET(_xlpm.horas,O96,_xlpm.feriados,IF($H96="CO",FER_CO,FER_EC),_xlpm.capacidad,NETWORKDAYS(O$3,O$4,_xlpm.feriados)*INDEX(Consultores!$C$6:$C$65,MATCH($A96,Consultores!$A$6:$A$65,0)),IF(_xlpm.horas=0,"",IFERROR(_xlpm.horas/_xlpm.capacidad,"")))</f>
        <v/>
      </c>
    </row>
    <row r="97">
      <c r="A97" s="25" t="n"/>
      <c r="B97" s="25" t="n"/>
      <c r="C97" s="25" t="n"/>
      <c r="D97" s="30" t="n"/>
      <c r="E97" s="30" t="n"/>
      <c r="F97" s="26" t="n"/>
      <c r="G97" s="25" t="n"/>
      <c r="H97" s="31">
        <f>IF($A97="","",IFERROR(INDEX(Consultores!$B$6:$B$65,MATCH($A97,Consultores!$A$6:$A$65,0)),"No existe"))</f>
        <v/>
      </c>
      <c r="I97" s="32">
        <f>IF($F97="",0,$F97/5)</f>
        <v/>
      </c>
      <c r="J97" s="33">
        <f>_xlfn.LET(_xlpm.inicio,MAX($D97,J$3),_xlpm.fin,MIN($E97,J$4),_xlpm.feriados,IF($H97="CO",FER_CO,FER_EC),_xlpm.dias,IF(_xlpm.inicio&gt;_xlpm.fin,0,NETWORKDAYS(_xlpm.inicio,_xlpm.fin,_xlpm.feriados)),_xlpm.factor,IF($G97="Probable",IF(Parametros!$B$6="Sí",1,0),1),IF(OR($A97="",$D97="",$E97=""),0,_xlpm.dias*$I97*_xlpm.factor))</f>
        <v/>
      </c>
      <c r="K97" s="33">
        <f>_xlfn.LET(_xlpm.inicio,MAX($D97,K$3),_xlpm.fin,MIN($E97,K$4),_xlpm.feriados,IF($H97="CO",FER_CO,FER_EC),_xlpm.dias,IF(_xlpm.inicio&gt;_xlpm.fin,0,NETWORKDAYS(_xlpm.inicio,_xlpm.fin,_xlpm.feriados)),_xlpm.factor,IF($G97="Probable",IF(Parametros!$B$6="Sí",1,0),1),IF(OR($A97="",$D97="",$E97=""),0,_xlpm.dias*$I97*_xlpm.factor))</f>
        <v/>
      </c>
      <c r="L97" s="33">
        <f>_xlfn.LET(_xlpm.inicio,MAX($D97,L$3),_xlpm.fin,MIN($E97,L$4),_xlpm.feriados,IF($H97="CO",FER_CO,FER_EC),_xlpm.dias,IF(_xlpm.inicio&gt;_xlpm.fin,0,NETWORKDAYS(_xlpm.inicio,_xlpm.fin,_xlpm.feriados)),_xlpm.factor,IF($G97="Probable",IF(Parametros!$B$6="Sí",1,0),1),IF(OR($A97="",$D97="",$E97=""),0,_xlpm.dias*$I97*_xlpm.factor))</f>
        <v/>
      </c>
      <c r="M97" s="33">
        <f>_xlfn.LET(_xlpm.inicio,MAX($D97,M$3),_xlpm.fin,MIN($E97,M$4),_xlpm.feriados,IF($H97="CO",FER_CO,FER_EC),_xlpm.dias,IF(_xlpm.inicio&gt;_xlpm.fin,0,NETWORKDAYS(_xlpm.inicio,_xlpm.fin,_xlpm.feriados)),_xlpm.factor,IF($G97="Probable",IF(Parametros!$B$6="Sí",1,0),1),IF(OR($A97="",$D97="",$E97=""),0,_xlpm.dias*$I97*_xlpm.factor))</f>
        <v/>
      </c>
      <c r="N97" s="33">
        <f>_xlfn.LET(_xlpm.inicio,MAX($D97,N$3),_xlpm.fin,MIN($E97,N$4),_xlpm.feriados,IF($H97="CO",FER_CO,FER_EC),_xlpm.dias,IF(_xlpm.inicio&gt;_xlpm.fin,0,NETWORKDAYS(_xlpm.inicio,_xlpm.fin,_xlpm.feriados)),_xlpm.factor,IF($G97="Probable",IF(Parametros!$B$6="Sí",1,0),1),IF(OR($A97="",$D97="",$E97=""),0,_xlpm.dias*$I97*_xlpm.factor))</f>
        <v/>
      </c>
      <c r="O97" s="33">
        <f>_xlfn.LET(_xlpm.inicio,MAX($D97,O$3),_xlpm.fin,MIN($E97,O$4),_xlpm.feriados,IF($H97="CO",FER_CO,FER_EC),_xlpm.dias,IF(_xlpm.inicio&gt;_xlpm.fin,0,NETWORKDAYS(_xlpm.inicio,_xlpm.fin,_xlpm.feriados)),_xlpm.factor,IF($G97="Probable",IF(Parametros!$B$6="Sí",1,0),1),IF(OR($A97="",$D97="",$E97=""),0,_xlpm.dias*$I97*_xlpm.factor))</f>
        <v/>
      </c>
      <c r="P97" s="34">
        <f>_xlfn.LET(_xlpm.horas,J97,_xlpm.feriados,IF($H97="CO",FER_CO,FER_EC),_xlpm.capacidad,NETWORKDAYS(J$3,J$4,_xlpm.feriados)*INDEX(Consultores!$C$6:$C$65,MATCH($A97,Consultores!$A$6:$A$65,0)),IF(_xlpm.horas=0,"",IFERROR(_xlpm.horas/_xlpm.capacidad,"")))</f>
        <v/>
      </c>
      <c r="Q97" s="34">
        <f>_xlfn.LET(_xlpm.horas,K97,_xlpm.feriados,IF($H97="CO",FER_CO,FER_EC),_xlpm.capacidad,NETWORKDAYS(K$3,K$4,_xlpm.feriados)*INDEX(Consultores!$C$6:$C$65,MATCH($A97,Consultores!$A$6:$A$65,0)),IF(_xlpm.horas=0,"",IFERROR(_xlpm.horas/_xlpm.capacidad,"")))</f>
        <v/>
      </c>
      <c r="R97" s="34">
        <f>_xlfn.LET(_xlpm.horas,L97,_xlpm.feriados,IF($H97="CO",FER_CO,FER_EC),_xlpm.capacidad,NETWORKDAYS(L$3,L$4,_xlpm.feriados)*INDEX(Consultores!$C$6:$C$65,MATCH($A97,Consultores!$A$6:$A$65,0)),IF(_xlpm.horas=0,"",IFERROR(_xlpm.horas/_xlpm.capacidad,"")))</f>
        <v/>
      </c>
      <c r="S97" s="34">
        <f>_xlfn.LET(_xlpm.horas,M97,_xlpm.feriados,IF($H97="CO",FER_CO,FER_EC),_xlpm.capacidad,NETWORKDAYS(M$3,M$4,_xlpm.feriados)*INDEX(Consultores!$C$6:$C$65,MATCH($A97,Consultores!$A$6:$A$65,0)),IF(_xlpm.horas=0,"",IFERROR(_xlpm.horas/_xlpm.capacidad,"")))</f>
        <v/>
      </c>
      <c r="T97" s="34">
        <f>_xlfn.LET(_xlpm.horas,N97,_xlpm.feriados,IF($H97="CO",FER_CO,FER_EC),_xlpm.capacidad,NETWORKDAYS(N$3,N$4,_xlpm.feriados)*INDEX(Consultores!$C$6:$C$65,MATCH($A97,Consultores!$A$6:$A$65,0)),IF(_xlpm.horas=0,"",IFERROR(_xlpm.horas/_xlpm.capacidad,"")))</f>
        <v/>
      </c>
      <c r="U97" s="34">
        <f>_xlfn.LET(_xlpm.horas,O97,_xlpm.feriados,IF($H97="CO",FER_CO,FER_EC),_xlpm.capacidad,NETWORKDAYS(O$3,O$4,_xlpm.feriados)*INDEX(Consultores!$C$6:$C$65,MATCH($A97,Consultores!$A$6:$A$65,0)),IF(_xlpm.horas=0,"",IFERROR(_xlpm.horas/_xlpm.capacidad,"")))</f>
        <v/>
      </c>
    </row>
    <row r="98">
      <c r="A98" s="25" t="n"/>
      <c r="B98" s="25" t="n"/>
      <c r="C98" s="25" t="n"/>
      <c r="D98" s="30" t="n"/>
      <c r="E98" s="30" t="n"/>
      <c r="F98" s="26" t="n"/>
      <c r="G98" s="25" t="n"/>
      <c r="H98" s="31">
        <f>IF($A98="","",IFERROR(INDEX(Consultores!$B$6:$B$65,MATCH($A98,Consultores!$A$6:$A$65,0)),"No existe"))</f>
        <v/>
      </c>
      <c r="I98" s="32">
        <f>IF($F98="",0,$F98/5)</f>
        <v/>
      </c>
      <c r="J98" s="33">
        <f>_xlfn.LET(_xlpm.inicio,MAX($D98,J$3),_xlpm.fin,MIN($E98,J$4),_xlpm.feriados,IF($H98="CO",FER_CO,FER_EC),_xlpm.dias,IF(_xlpm.inicio&gt;_xlpm.fin,0,NETWORKDAYS(_xlpm.inicio,_xlpm.fin,_xlpm.feriados)),_xlpm.factor,IF($G98="Probable",IF(Parametros!$B$6="Sí",1,0),1),IF(OR($A98="",$D98="",$E98=""),0,_xlpm.dias*$I98*_xlpm.factor))</f>
        <v/>
      </c>
      <c r="K98" s="33">
        <f>_xlfn.LET(_xlpm.inicio,MAX($D98,K$3),_xlpm.fin,MIN($E98,K$4),_xlpm.feriados,IF($H98="CO",FER_CO,FER_EC),_xlpm.dias,IF(_xlpm.inicio&gt;_xlpm.fin,0,NETWORKDAYS(_xlpm.inicio,_xlpm.fin,_xlpm.feriados)),_xlpm.factor,IF($G98="Probable",IF(Parametros!$B$6="Sí",1,0),1),IF(OR($A98="",$D98="",$E98=""),0,_xlpm.dias*$I98*_xlpm.factor))</f>
        <v/>
      </c>
      <c r="L98" s="33">
        <f>_xlfn.LET(_xlpm.inicio,MAX($D98,L$3),_xlpm.fin,MIN($E98,L$4),_xlpm.feriados,IF($H98="CO",FER_CO,FER_EC),_xlpm.dias,IF(_xlpm.inicio&gt;_xlpm.fin,0,NETWORKDAYS(_xlpm.inicio,_xlpm.fin,_xlpm.feriados)),_xlpm.factor,IF($G98="Probable",IF(Parametros!$B$6="Sí",1,0),1),IF(OR($A98="",$D98="",$E98=""),0,_xlpm.dias*$I98*_xlpm.factor))</f>
        <v/>
      </c>
      <c r="M98" s="33">
        <f>_xlfn.LET(_xlpm.inicio,MAX($D98,M$3),_xlpm.fin,MIN($E98,M$4),_xlpm.feriados,IF($H98="CO",FER_CO,FER_EC),_xlpm.dias,IF(_xlpm.inicio&gt;_xlpm.fin,0,NETWORKDAYS(_xlpm.inicio,_xlpm.fin,_xlpm.feriados)),_xlpm.factor,IF($G98="Probable",IF(Parametros!$B$6="Sí",1,0),1),IF(OR($A98="",$D98="",$E98=""),0,_xlpm.dias*$I98*_xlpm.factor))</f>
        <v/>
      </c>
      <c r="N98" s="33">
        <f>_xlfn.LET(_xlpm.inicio,MAX($D98,N$3),_xlpm.fin,MIN($E98,N$4),_xlpm.feriados,IF($H98="CO",FER_CO,FER_EC),_xlpm.dias,IF(_xlpm.inicio&gt;_xlpm.fin,0,NETWORKDAYS(_xlpm.inicio,_xlpm.fin,_xlpm.feriados)),_xlpm.factor,IF($G98="Probable",IF(Parametros!$B$6="Sí",1,0),1),IF(OR($A98="",$D98="",$E98=""),0,_xlpm.dias*$I98*_xlpm.factor))</f>
        <v/>
      </c>
      <c r="O98" s="33">
        <f>_xlfn.LET(_xlpm.inicio,MAX($D98,O$3),_xlpm.fin,MIN($E98,O$4),_xlpm.feriados,IF($H98="CO",FER_CO,FER_EC),_xlpm.dias,IF(_xlpm.inicio&gt;_xlpm.fin,0,NETWORKDAYS(_xlpm.inicio,_xlpm.fin,_xlpm.feriados)),_xlpm.factor,IF($G98="Probable",IF(Parametros!$B$6="Sí",1,0),1),IF(OR($A98="",$D98="",$E98=""),0,_xlpm.dias*$I98*_xlpm.factor))</f>
        <v/>
      </c>
      <c r="P98" s="34">
        <f>_xlfn.LET(_xlpm.horas,J98,_xlpm.feriados,IF($H98="CO",FER_CO,FER_EC),_xlpm.capacidad,NETWORKDAYS(J$3,J$4,_xlpm.feriados)*INDEX(Consultores!$C$6:$C$65,MATCH($A98,Consultores!$A$6:$A$65,0)),IF(_xlpm.horas=0,"",IFERROR(_xlpm.horas/_xlpm.capacidad,"")))</f>
        <v/>
      </c>
      <c r="Q98" s="34">
        <f>_xlfn.LET(_xlpm.horas,K98,_xlpm.feriados,IF($H98="CO",FER_CO,FER_EC),_xlpm.capacidad,NETWORKDAYS(K$3,K$4,_xlpm.feriados)*INDEX(Consultores!$C$6:$C$65,MATCH($A98,Consultores!$A$6:$A$65,0)),IF(_xlpm.horas=0,"",IFERROR(_xlpm.horas/_xlpm.capacidad,"")))</f>
        <v/>
      </c>
      <c r="R98" s="34">
        <f>_xlfn.LET(_xlpm.horas,L98,_xlpm.feriados,IF($H98="CO",FER_CO,FER_EC),_xlpm.capacidad,NETWORKDAYS(L$3,L$4,_xlpm.feriados)*INDEX(Consultores!$C$6:$C$65,MATCH($A98,Consultores!$A$6:$A$65,0)),IF(_xlpm.horas=0,"",IFERROR(_xlpm.horas/_xlpm.capacidad,"")))</f>
        <v/>
      </c>
      <c r="S98" s="34">
        <f>_xlfn.LET(_xlpm.horas,M98,_xlpm.feriados,IF($H98="CO",FER_CO,FER_EC),_xlpm.capacidad,NETWORKDAYS(M$3,M$4,_xlpm.feriados)*INDEX(Consultores!$C$6:$C$65,MATCH($A98,Consultores!$A$6:$A$65,0)),IF(_xlpm.horas=0,"",IFERROR(_xlpm.horas/_xlpm.capacidad,"")))</f>
        <v/>
      </c>
      <c r="T98" s="34">
        <f>_xlfn.LET(_xlpm.horas,N98,_xlpm.feriados,IF($H98="CO",FER_CO,FER_EC),_xlpm.capacidad,NETWORKDAYS(N$3,N$4,_xlpm.feriados)*INDEX(Consultores!$C$6:$C$65,MATCH($A98,Consultores!$A$6:$A$65,0)),IF(_xlpm.horas=0,"",IFERROR(_xlpm.horas/_xlpm.capacidad,"")))</f>
        <v/>
      </c>
      <c r="U98" s="34">
        <f>_xlfn.LET(_xlpm.horas,O98,_xlpm.feriados,IF($H98="CO",FER_CO,FER_EC),_xlpm.capacidad,NETWORKDAYS(O$3,O$4,_xlpm.feriados)*INDEX(Consultores!$C$6:$C$65,MATCH($A98,Consultores!$A$6:$A$65,0)),IF(_xlpm.horas=0,"",IFERROR(_xlpm.horas/_xlpm.capacidad,"")))</f>
        <v/>
      </c>
    </row>
    <row r="99">
      <c r="A99" s="25" t="n"/>
      <c r="B99" s="25" t="n"/>
      <c r="C99" s="25" t="n"/>
      <c r="D99" s="30" t="n"/>
      <c r="E99" s="30" t="n"/>
      <c r="F99" s="26" t="n"/>
      <c r="G99" s="25" t="n"/>
      <c r="H99" s="31">
        <f>IF($A99="","",IFERROR(INDEX(Consultores!$B$6:$B$65,MATCH($A99,Consultores!$A$6:$A$65,0)),"No existe"))</f>
        <v/>
      </c>
      <c r="I99" s="32">
        <f>IF($F99="",0,$F99/5)</f>
        <v/>
      </c>
      <c r="J99" s="33">
        <f>_xlfn.LET(_xlpm.inicio,MAX($D99,J$3),_xlpm.fin,MIN($E99,J$4),_xlpm.feriados,IF($H99="CO",FER_CO,FER_EC),_xlpm.dias,IF(_xlpm.inicio&gt;_xlpm.fin,0,NETWORKDAYS(_xlpm.inicio,_xlpm.fin,_xlpm.feriados)),_xlpm.factor,IF($G99="Probable",IF(Parametros!$B$6="Sí",1,0),1),IF(OR($A99="",$D99="",$E99=""),0,_xlpm.dias*$I99*_xlpm.factor))</f>
        <v/>
      </c>
      <c r="K99" s="33">
        <f>_xlfn.LET(_xlpm.inicio,MAX($D99,K$3),_xlpm.fin,MIN($E99,K$4),_xlpm.feriados,IF($H99="CO",FER_CO,FER_EC),_xlpm.dias,IF(_xlpm.inicio&gt;_xlpm.fin,0,NETWORKDAYS(_xlpm.inicio,_xlpm.fin,_xlpm.feriados)),_xlpm.factor,IF($G99="Probable",IF(Parametros!$B$6="Sí",1,0),1),IF(OR($A99="",$D99="",$E99=""),0,_xlpm.dias*$I99*_xlpm.factor))</f>
        <v/>
      </c>
      <c r="L99" s="33">
        <f>_xlfn.LET(_xlpm.inicio,MAX($D99,L$3),_xlpm.fin,MIN($E99,L$4),_xlpm.feriados,IF($H99="CO",FER_CO,FER_EC),_xlpm.dias,IF(_xlpm.inicio&gt;_xlpm.fin,0,NETWORKDAYS(_xlpm.inicio,_xlpm.fin,_xlpm.feriados)),_xlpm.factor,IF($G99="Probable",IF(Parametros!$B$6="Sí",1,0),1),IF(OR($A99="",$D99="",$E99=""),0,_xlpm.dias*$I99*_xlpm.factor))</f>
        <v/>
      </c>
      <c r="M99" s="33">
        <f>_xlfn.LET(_xlpm.inicio,MAX($D99,M$3),_xlpm.fin,MIN($E99,M$4),_xlpm.feriados,IF($H99="CO",FER_CO,FER_EC),_xlpm.dias,IF(_xlpm.inicio&gt;_xlpm.fin,0,NETWORKDAYS(_xlpm.inicio,_xlpm.fin,_xlpm.feriados)),_xlpm.factor,IF($G99="Probable",IF(Parametros!$B$6="Sí",1,0),1),IF(OR($A99="",$D99="",$E99=""),0,_xlpm.dias*$I99*_xlpm.factor))</f>
        <v/>
      </c>
      <c r="N99" s="33">
        <f>_xlfn.LET(_xlpm.inicio,MAX($D99,N$3),_xlpm.fin,MIN($E99,N$4),_xlpm.feriados,IF($H99="CO",FER_CO,FER_EC),_xlpm.dias,IF(_xlpm.inicio&gt;_xlpm.fin,0,NETWORKDAYS(_xlpm.inicio,_xlpm.fin,_xlpm.feriados)),_xlpm.factor,IF($G99="Probable",IF(Parametros!$B$6="Sí",1,0),1),IF(OR($A99="",$D99="",$E99=""),0,_xlpm.dias*$I99*_xlpm.factor))</f>
        <v/>
      </c>
      <c r="O99" s="33">
        <f>_xlfn.LET(_xlpm.inicio,MAX($D99,O$3),_xlpm.fin,MIN($E99,O$4),_xlpm.feriados,IF($H99="CO",FER_CO,FER_EC),_xlpm.dias,IF(_xlpm.inicio&gt;_xlpm.fin,0,NETWORKDAYS(_xlpm.inicio,_xlpm.fin,_xlpm.feriados)),_xlpm.factor,IF($G99="Probable",IF(Parametros!$B$6="Sí",1,0),1),IF(OR($A99="",$D99="",$E99=""),0,_xlpm.dias*$I99*_xlpm.factor))</f>
        <v/>
      </c>
      <c r="P99" s="34">
        <f>_xlfn.LET(_xlpm.horas,J99,_xlpm.feriados,IF($H99="CO",FER_CO,FER_EC),_xlpm.capacidad,NETWORKDAYS(J$3,J$4,_xlpm.feriados)*INDEX(Consultores!$C$6:$C$65,MATCH($A99,Consultores!$A$6:$A$65,0)),IF(_xlpm.horas=0,"",IFERROR(_xlpm.horas/_xlpm.capacidad,"")))</f>
        <v/>
      </c>
      <c r="Q99" s="34">
        <f>_xlfn.LET(_xlpm.horas,K99,_xlpm.feriados,IF($H99="CO",FER_CO,FER_EC),_xlpm.capacidad,NETWORKDAYS(K$3,K$4,_xlpm.feriados)*INDEX(Consultores!$C$6:$C$65,MATCH($A99,Consultores!$A$6:$A$65,0)),IF(_xlpm.horas=0,"",IFERROR(_xlpm.horas/_xlpm.capacidad,"")))</f>
        <v/>
      </c>
      <c r="R99" s="34">
        <f>_xlfn.LET(_xlpm.horas,L99,_xlpm.feriados,IF($H99="CO",FER_CO,FER_EC),_xlpm.capacidad,NETWORKDAYS(L$3,L$4,_xlpm.feriados)*INDEX(Consultores!$C$6:$C$65,MATCH($A99,Consultores!$A$6:$A$65,0)),IF(_xlpm.horas=0,"",IFERROR(_xlpm.horas/_xlpm.capacidad,"")))</f>
        <v/>
      </c>
      <c r="S99" s="34">
        <f>_xlfn.LET(_xlpm.horas,M99,_xlpm.feriados,IF($H99="CO",FER_CO,FER_EC),_xlpm.capacidad,NETWORKDAYS(M$3,M$4,_xlpm.feriados)*INDEX(Consultores!$C$6:$C$65,MATCH($A99,Consultores!$A$6:$A$65,0)),IF(_xlpm.horas=0,"",IFERROR(_xlpm.horas/_xlpm.capacidad,"")))</f>
        <v/>
      </c>
      <c r="T99" s="34">
        <f>_xlfn.LET(_xlpm.horas,N99,_xlpm.feriados,IF($H99="CO",FER_CO,FER_EC),_xlpm.capacidad,NETWORKDAYS(N$3,N$4,_xlpm.feriados)*INDEX(Consultores!$C$6:$C$65,MATCH($A99,Consultores!$A$6:$A$65,0)),IF(_xlpm.horas=0,"",IFERROR(_xlpm.horas/_xlpm.capacidad,"")))</f>
        <v/>
      </c>
      <c r="U99" s="34">
        <f>_xlfn.LET(_xlpm.horas,O99,_xlpm.feriados,IF($H99="CO",FER_CO,FER_EC),_xlpm.capacidad,NETWORKDAYS(O$3,O$4,_xlpm.feriados)*INDEX(Consultores!$C$6:$C$65,MATCH($A99,Consultores!$A$6:$A$65,0)),IF(_xlpm.horas=0,"",IFERROR(_xlpm.horas/_xlpm.capacidad,"")))</f>
        <v/>
      </c>
    </row>
    <row r="100">
      <c r="A100" s="25" t="n"/>
      <c r="B100" s="25" t="n"/>
      <c r="C100" s="25" t="n"/>
      <c r="D100" s="30" t="n"/>
      <c r="E100" s="30" t="n"/>
      <c r="F100" s="26" t="n"/>
      <c r="G100" s="25" t="n"/>
      <c r="H100" s="31">
        <f>IF($A100="","",IFERROR(INDEX(Consultores!$B$6:$B$65,MATCH($A100,Consultores!$A$6:$A$65,0)),"No existe"))</f>
        <v/>
      </c>
      <c r="I100" s="32">
        <f>IF($F100="",0,$F100/5)</f>
        <v/>
      </c>
      <c r="J100" s="33">
        <f>_xlfn.LET(_xlpm.inicio,MAX($D100,J$3),_xlpm.fin,MIN($E100,J$4),_xlpm.feriados,IF($H100="CO",FER_CO,FER_EC),_xlpm.dias,IF(_xlpm.inicio&gt;_xlpm.fin,0,NETWORKDAYS(_xlpm.inicio,_xlpm.fin,_xlpm.feriados)),_xlpm.factor,IF($G100="Probable",IF(Parametros!$B$6="Sí",1,0),1),IF(OR($A100="",$D100="",$E100=""),0,_xlpm.dias*$I100*_xlpm.factor))</f>
        <v/>
      </c>
      <c r="K100" s="33">
        <f>_xlfn.LET(_xlpm.inicio,MAX($D100,K$3),_xlpm.fin,MIN($E100,K$4),_xlpm.feriados,IF($H100="CO",FER_CO,FER_EC),_xlpm.dias,IF(_xlpm.inicio&gt;_xlpm.fin,0,NETWORKDAYS(_xlpm.inicio,_xlpm.fin,_xlpm.feriados)),_xlpm.factor,IF($G100="Probable",IF(Parametros!$B$6="Sí",1,0),1),IF(OR($A100="",$D100="",$E100=""),0,_xlpm.dias*$I100*_xlpm.factor))</f>
        <v/>
      </c>
      <c r="L100" s="33">
        <f>_xlfn.LET(_xlpm.inicio,MAX($D100,L$3),_xlpm.fin,MIN($E100,L$4),_xlpm.feriados,IF($H100="CO",FER_CO,FER_EC),_xlpm.dias,IF(_xlpm.inicio&gt;_xlpm.fin,0,NETWORKDAYS(_xlpm.inicio,_xlpm.fin,_xlpm.feriados)),_xlpm.factor,IF($G100="Probable",IF(Parametros!$B$6="Sí",1,0),1),IF(OR($A100="",$D100="",$E100=""),0,_xlpm.dias*$I100*_xlpm.factor))</f>
        <v/>
      </c>
      <c r="M100" s="33">
        <f>_xlfn.LET(_xlpm.inicio,MAX($D100,M$3),_xlpm.fin,MIN($E100,M$4),_xlpm.feriados,IF($H100="CO",FER_CO,FER_EC),_xlpm.dias,IF(_xlpm.inicio&gt;_xlpm.fin,0,NETWORKDAYS(_xlpm.inicio,_xlpm.fin,_xlpm.feriados)),_xlpm.factor,IF($G100="Probable",IF(Parametros!$B$6="Sí",1,0),1),IF(OR($A100="",$D100="",$E100=""),0,_xlpm.dias*$I100*_xlpm.factor))</f>
        <v/>
      </c>
      <c r="N100" s="33">
        <f>_xlfn.LET(_xlpm.inicio,MAX($D100,N$3),_xlpm.fin,MIN($E100,N$4),_xlpm.feriados,IF($H100="CO",FER_CO,FER_EC),_xlpm.dias,IF(_xlpm.inicio&gt;_xlpm.fin,0,NETWORKDAYS(_xlpm.inicio,_xlpm.fin,_xlpm.feriados)),_xlpm.factor,IF($G100="Probable",IF(Parametros!$B$6="Sí",1,0),1),IF(OR($A100="",$D100="",$E100=""),0,_xlpm.dias*$I100*_xlpm.factor))</f>
        <v/>
      </c>
      <c r="O100" s="33">
        <f>_xlfn.LET(_xlpm.inicio,MAX($D100,O$3),_xlpm.fin,MIN($E100,O$4),_xlpm.feriados,IF($H100="CO",FER_CO,FER_EC),_xlpm.dias,IF(_xlpm.inicio&gt;_xlpm.fin,0,NETWORKDAYS(_xlpm.inicio,_xlpm.fin,_xlpm.feriados)),_xlpm.factor,IF($G100="Probable",IF(Parametros!$B$6="Sí",1,0),1),IF(OR($A100="",$D100="",$E100=""),0,_xlpm.dias*$I100*_xlpm.factor))</f>
        <v/>
      </c>
      <c r="P100" s="34">
        <f>_xlfn.LET(_xlpm.horas,J100,_xlpm.feriados,IF($H100="CO",FER_CO,FER_EC),_xlpm.capacidad,NETWORKDAYS(J$3,J$4,_xlpm.feriados)*INDEX(Consultores!$C$6:$C$65,MATCH($A100,Consultores!$A$6:$A$65,0)),IF(_xlpm.horas=0,"",IFERROR(_xlpm.horas/_xlpm.capacidad,"")))</f>
        <v/>
      </c>
      <c r="Q100" s="34">
        <f>_xlfn.LET(_xlpm.horas,K100,_xlpm.feriados,IF($H100="CO",FER_CO,FER_EC),_xlpm.capacidad,NETWORKDAYS(K$3,K$4,_xlpm.feriados)*INDEX(Consultores!$C$6:$C$65,MATCH($A100,Consultores!$A$6:$A$65,0)),IF(_xlpm.horas=0,"",IFERROR(_xlpm.horas/_xlpm.capacidad,"")))</f>
        <v/>
      </c>
      <c r="R100" s="34">
        <f>_xlfn.LET(_xlpm.horas,L100,_xlpm.feriados,IF($H100="CO",FER_CO,FER_EC),_xlpm.capacidad,NETWORKDAYS(L$3,L$4,_xlpm.feriados)*INDEX(Consultores!$C$6:$C$65,MATCH($A100,Consultores!$A$6:$A$65,0)),IF(_xlpm.horas=0,"",IFERROR(_xlpm.horas/_xlpm.capacidad,"")))</f>
        <v/>
      </c>
      <c r="S100" s="34">
        <f>_xlfn.LET(_xlpm.horas,M100,_xlpm.feriados,IF($H100="CO",FER_CO,FER_EC),_xlpm.capacidad,NETWORKDAYS(M$3,M$4,_xlpm.feriados)*INDEX(Consultores!$C$6:$C$65,MATCH($A100,Consultores!$A$6:$A$65,0)),IF(_xlpm.horas=0,"",IFERROR(_xlpm.horas/_xlpm.capacidad,"")))</f>
        <v/>
      </c>
      <c r="T100" s="34">
        <f>_xlfn.LET(_xlpm.horas,N100,_xlpm.feriados,IF($H100="CO",FER_CO,FER_EC),_xlpm.capacidad,NETWORKDAYS(N$3,N$4,_xlpm.feriados)*INDEX(Consultores!$C$6:$C$65,MATCH($A100,Consultores!$A$6:$A$65,0)),IF(_xlpm.horas=0,"",IFERROR(_xlpm.horas/_xlpm.capacidad,"")))</f>
        <v/>
      </c>
      <c r="U100" s="34">
        <f>_xlfn.LET(_xlpm.horas,O100,_xlpm.feriados,IF($H100="CO",FER_CO,FER_EC),_xlpm.capacidad,NETWORKDAYS(O$3,O$4,_xlpm.feriados)*INDEX(Consultores!$C$6:$C$65,MATCH($A100,Consultores!$A$6:$A$65,0)),IF(_xlpm.horas=0,"",IFERROR(_xlpm.horas/_xlpm.capacidad,"")))</f>
        <v/>
      </c>
    </row>
    <row r="101">
      <c r="A101" s="25" t="n"/>
      <c r="B101" s="25" t="n"/>
      <c r="C101" s="25" t="n"/>
      <c r="D101" s="30" t="n"/>
      <c r="E101" s="30" t="n"/>
      <c r="F101" s="26" t="n"/>
      <c r="G101" s="25" t="n"/>
      <c r="H101" s="31">
        <f>IF($A101="","",IFERROR(INDEX(Consultores!$B$6:$B$65,MATCH($A101,Consultores!$A$6:$A$65,0)),"No existe"))</f>
        <v/>
      </c>
      <c r="I101" s="32">
        <f>IF($F101="",0,$F101/5)</f>
        <v/>
      </c>
      <c r="J101" s="33">
        <f>_xlfn.LET(_xlpm.inicio,MAX($D101,J$3),_xlpm.fin,MIN($E101,J$4),_xlpm.feriados,IF($H101="CO",FER_CO,FER_EC),_xlpm.dias,IF(_xlpm.inicio&gt;_xlpm.fin,0,NETWORKDAYS(_xlpm.inicio,_xlpm.fin,_xlpm.feriados)),_xlpm.factor,IF($G101="Probable",IF(Parametros!$B$6="Sí",1,0),1),IF(OR($A101="",$D101="",$E101=""),0,_xlpm.dias*$I101*_xlpm.factor))</f>
        <v/>
      </c>
      <c r="K101" s="33">
        <f>_xlfn.LET(_xlpm.inicio,MAX($D101,K$3),_xlpm.fin,MIN($E101,K$4),_xlpm.feriados,IF($H101="CO",FER_CO,FER_EC),_xlpm.dias,IF(_xlpm.inicio&gt;_xlpm.fin,0,NETWORKDAYS(_xlpm.inicio,_xlpm.fin,_xlpm.feriados)),_xlpm.factor,IF($G101="Probable",IF(Parametros!$B$6="Sí",1,0),1),IF(OR($A101="",$D101="",$E101=""),0,_xlpm.dias*$I101*_xlpm.factor))</f>
        <v/>
      </c>
      <c r="L101" s="33">
        <f>_xlfn.LET(_xlpm.inicio,MAX($D101,L$3),_xlpm.fin,MIN($E101,L$4),_xlpm.feriados,IF($H101="CO",FER_CO,FER_EC),_xlpm.dias,IF(_xlpm.inicio&gt;_xlpm.fin,0,NETWORKDAYS(_xlpm.inicio,_xlpm.fin,_xlpm.feriados)),_xlpm.factor,IF($G101="Probable",IF(Parametros!$B$6="Sí",1,0),1),IF(OR($A101="",$D101="",$E101=""),0,_xlpm.dias*$I101*_xlpm.factor))</f>
        <v/>
      </c>
      <c r="M101" s="33">
        <f>_xlfn.LET(_xlpm.inicio,MAX($D101,M$3),_xlpm.fin,MIN($E101,M$4),_xlpm.feriados,IF($H101="CO",FER_CO,FER_EC),_xlpm.dias,IF(_xlpm.inicio&gt;_xlpm.fin,0,NETWORKDAYS(_xlpm.inicio,_xlpm.fin,_xlpm.feriados)),_xlpm.factor,IF($G101="Probable",IF(Parametros!$B$6="Sí",1,0),1),IF(OR($A101="",$D101="",$E101=""),0,_xlpm.dias*$I101*_xlpm.factor))</f>
        <v/>
      </c>
      <c r="N101" s="33">
        <f>_xlfn.LET(_xlpm.inicio,MAX($D101,N$3),_xlpm.fin,MIN($E101,N$4),_xlpm.feriados,IF($H101="CO",FER_CO,FER_EC),_xlpm.dias,IF(_xlpm.inicio&gt;_xlpm.fin,0,NETWORKDAYS(_xlpm.inicio,_xlpm.fin,_xlpm.feriados)),_xlpm.factor,IF($G101="Probable",IF(Parametros!$B$6="Sí",1,0),1),IF(OR($A101="",$D101="",$E101=""),0,_xlpm.dias*$I101*_xlpm.factor))</f>
        <v/>
      </c>
      <c r="O101" s="33">
        <f>_xlfn.LET(_xlpm.inicio,MAX($D101,O$3),_xlpm.fin,MIN($E101,O$4),_xlpm.feriados,IF($H101="CO",FER_CO,FER_EC),_xlpm.dias,IF(_xlpm.inicio&gt;_xlpm.fin,0,NETWORKDAYS(_xlpm.inicio,_xlpm.fin,_xlpm.feriados)),_xlpm.factor,IF($G101="Probable",IF(Parametros!$B$6="Sí",1,0),1),IF(OR($A101="",$D101="",$E101=""),0,_xlpm.dias*$I101*_xlpm.factor))</f>
        <v/>
      </c>
      <c r="P101" s="34">
        <f>_xlfn.LET(_xlpm.horas,J101,_xlpm.feriados,IF($H101="CO",FER_CO,FER_EC),_xlpm.capacidad,NETWORKDAYS(J$3,J$4,_xlpm.feriados)*INDEX(Consultores!$C$6:$C$65,MATCH($A101,Consultores!$A$6:$A$65,0)),IF(_xlpm.horas=0,"",IFERROR(_xlpm.horas/_xlpm.capacidad,"")))</f>
        <v/>
      </c>
      <c r="Q101" s="34">
        <f>_xlfn.LET(_xlpm.horas,K101,_xlpm.feriados,IF($H101="CO",FER_CO,FER_EC),_xlpm.capacidad,NETWORKDAYS(K$3,K$4,_xlpm.feriados)*INDEX(Consultores!$C$6:$C$65,MATCH($A101,Consultores!$A$6:$A$65,0)),IF(_xlpm.horas=0,"",IFERROR(_xlpm.horas/_xlpm.capacidad,"")))</f>
        <v/>
      </c>
      <c r="R101" s="34">
        <f>_xlfn.LET(_xlpm.horas,L101,_xlpm.feriados,IF($H101="CO",FER_CO,FER_EC),_xlpm.capacidad,NETWORKDAYS(L$3,L$4,_xlpm.feriados)*INDEX(Consultores!$C$6:$C$65,MATCH($A101,Consultores!$A$6:$A$65,0)),IF(_xlpm.horas=0,"",IFERROR(_xlpm.horas/_xlpm.capacidad,"")))</f>
        <v/>
      </c>
      <c r="S101" s="34">
        <f>_xlfn.LET(_xlpm.horas,M101,_xlpm.feriados,IF($H101="CO",FER_CO,FER_EC),_xlpm.capacidad,NETWORKDAYS(M$3,M$4,_xlpm.feriados)*INDEX(Consultores!$C$6:$C$65,MATCH($A101,Consultores!$A$6:$A$65,0)),IF(_xlpm.horas=0,"",IFERROR(_xlpm.horas/_xlpm.capacidad,"")))</f>
        <v/>
      </c>
      <c r="T101" s="34">
        <f>_xlfn.LET(_xlpm.horas,N101,_xlpm.feriados,IF($H101="CO",FER_CO,FER_EC),_xlpm.capacidad,NETWORKDAYS(N$3,N$4,_xlpm.feriados)*INDEX(Consultores!$C$6:$C$65,MATCH($A101,Consultores!$A$6:$A$65,0)),IF(_xlpm.horas=0,"",IFERROR(_xlpm.horas/_xlpm.capacidad,"")))</f>
        <v/>
      </c>
      <c r="U101" s="34">
        <f>_xlfn.LET(_xlpm.horas,O101,_xlpm.feriados,IF($H101="CO",FER_CO,FER_EC),_xlpm.capacidad,NETWORKDAYS(O$3,O$4,_xlpm.feriados)*INDEX(Consultores!$C$6:$C$65,MATCH($A101,Consultores!$A$6:$A$65,0)),IF(_xlpm.horas=0,"",IFERROR(_xlpm.horas/_xlpm.capacidad,"")))</f>
        <v/>
      </c>
    </row>
    <row r="102">
      <c r="A102" s="25" t="n"/>
      <c r="B102" s="25" t="n"/>
      <c r="C102" s="25" t="n"/>
      <c r="D102" s="30" t="n"/>
      <c r="E102" s="30" t="n"/>
      <c r="F102" s="26" t="n"/>
      <c r="G102" s="25" t="n"/>
      <c r="H102" s="31">
        <f>IF($A102="","",IFERROR(INDEX(Consultores!$B$6:$B$65,MATCH($A102,Consultores!$A$6:$A$65,0)),"No existe"))</f>
        <v/>
      </c>
      <c r="I102" s="32">
        <f>IF($F102="",0,$F102/5)</f>
        <v/>
      </c>
      <c r="J102" s="33">
        <f>_xlfn.LET(_xlpm.inicio,MAX($D102,J$3),_xlpm.fin,MIN($E102,J$4),_xlpm.feriados,IF($H102="CO",FER_CO,FER_EC),_xlpm.dias,IF(_xlpm.inicio&gt;_xlpm.fin,0,NETWORKDAYS(_xlpm.inicio,_xlpm.fin,_xlpm.feriados)),_xlpm.factor,IF($G102="Probable",IF(Parametros!$B$6="Sí",1,0),1),IF(OR($A102="",$D102="",$E102=""),0,_xlpm.dias*$I102*_xlpm.factor))</f>
        <v/>
      </c>
      <c r="K102" s="33">
        <f>_xlfn.LET(_xlpm.inicio,MAX($D102,K$3),_xlpm.fin,MIN($E102,K$4),_xlpm.feriados,IF($H102="CO",FER_CO,FER_EC),_xlpm.dias,IF(_xlpm.inicio&gt;_xlpm.fin,0,NETWORKDAYS(_xlpm.inicio,_xlpm.fin,_xlpm.feriados)),_xlpm.factor,IF($G102="Probable",IF(Parametros!$B$6="Sí",1,0),1),IF(OR($A102="",$D102="",$E102=""),0,_xlpm.dias*$I102*_xlpm.factor))</f>
        <v/>
      </c>
      <c r="L102" s="33">
        <f>_xlfn.LET(_xlpm.inicio,MAX($D102,L$3),_xlpm.fin,MIN($E102,L$4),_xlpm.feriados,IF($H102="CO",FER_CO,FER_EC),_xlpm.dias,IF(_xlpm.inicio&gt;_xlpm.fin,0,NETWORKDAYS(_xlpm.inicio,_xlpm.fin,_xlpm.feriados)),_xlpm.factor,IF($G102="Probable",IF(Parametros!$B$6="Sí",1,0),1),IF(OR($A102="",$D102="",$E102=""),0,_xlpm.dias*$I102*_xlpm.factor))</f>
        <v/>
      </c>
      <c r="M102" s="33">
        <f>_xlfn.LET(_xlpm.inicio,MAX($D102,M$3),_xlpm.fin,MIN($E102,M$4),_xlpm.feriados,IF($H102="CO",FER_CO,FER_EC),_xlpm.dias,IF(_xlpm.inicio&gt;_xlpm.fin,0,NETWORKDAYS(_xlpm.inicio,_xlpm.fin,_xlpm.feriados)),_xlpm.factor,IF($G102="Probable",IF(Parametros!$B$6="Sí",1,0),1),IF(OR($A102="",$D102="",$E102=""),0,_xlpm.dias*$I102*_xlpm.factor))</f>
        <v/>
      </c>
      <c r="N102" s="33">
        <f>_xlfn.LET(_xlpm.inicio,MAX($D102,N$3),_xlpm.fin,MIN($E102,N$4),_xlpm.feriados,IF($H102="CO",FER_CO,FER_EC),_xlpm.dias,IF(_xlpm.inicio&gt;_xlpm.fin,0,NETWORKDAYS(_xlpm.inicio,_xlpm.fin,_xlpm.feriados)),_xlpm.factor,IF($G102="Probable",IF(Parametros!$B$6="Sí",1,0),1),IF(OR($A102="",$D102="",$E102=""),0,_xlpm.dias*$I102*_xlpm.factor))</f>
        <v/>
      </c>
      <c r="O102" s="33">
        <f>_xlfn.LET(_xlpm.inicio,MAX($D102,O$3),_xlpm.fin,MIN($E102,O$4),_xlpm.feriados,IF($H102="CO",FER_CO,FER_EC),_xlpm.dias,IF(_xlpm.inicio&gt;_xlpm.fin,0,NETWORKDAYS(_xlpm.inicio,_xlpm.fin,_xlpm.feriados)),_xlpm.factor,IF($G102="Probable",IF(Parametros!$B$6="Sí",1,0),1),IF(OR($A102="",$D102="",$E102=""),0,_xlpm.dias*$I102*_xlpm.factor))</f>
        <v/>
      </c>
      <c r="P102" s="34">
        <f>_xlfn.LET(_xlpm.horas,J102,_xlpm.feriados,IF($H102="CO",FER_CO,FER_EC),_xlpm.capacidad,NETWORKDAYS(J$3,J$4,_xlpm.feriados)*INDEX(Consultores!$C$6:$C$65,MATCH($A102,Consultores!$A$6:$A$65,0)),IF(_xlpm.horas=0,"",IFERROR(_xlpm.horas/_xlpm.capacidad,"")))</f>
        <v/>
      </c>
      <c r="Q102" s="34">
        <f>_xlfn.LET(_xlpm.horas,K102,_xlpm.feriados,IF($H102="CO",FER_CO,FER_EC),_xlpm.capacidad,NETWORKDAYS(K$3,K$4,_xlpm.feriados)*INDEX(Consultores!$C$6:$C$65,MATCH($A102,Consultores!$A$6:$A$65,0)),IF(_xlpm.horas=0,"",IFERROR(_xlpm.horas/_xlpm.capacidad,"")))</f>
        <v/>
      </c>
      <c r="R102" s="34">
        <f>_xlfn.LET(_xlpm.horas,L102,_xlpm.feriados,IF($H102="CO",FER_CO,FER_EC),_xlpm.capacidad,NETWORKDAYS(L$3,L$4,_xlpm.feriados)*INDEX(Consultores!$C$6:$C$65,MATCH($A102,Consultores!$A$6:$A$65,0)),IF(_xlpm.horas=0,"",IFERROR(_xlpm.horas/_xlpm.capacidad,"")))</f>
        <v/>
      </c>
      <c r="S102" s="34">
        <f>_xlfn.LET(_xlpm.horas,M102,_xlpm.feriados,IF($H102="CO",FER_CO,FER_EC),_xlpm.capacidad,NETWORKDAYS(M$3,M$4,_xlpm.feriados)*INDEX(Consultores!$C$6:$C$65,MATCH($A102,Consultores!$A$6:$A$65,0)),IF(_xlpm.horas=0,"",IFERROR(_xlpm.horas/_xlpm.capacidad,"")))</f>
        <v/>
      </c>
      <c r="T102" s="34">
        <f>_xlfn.LET(_xlpm.horas,N102,_xlpm.feriados,IF($H102="CO",FER_CO,FER_EC),_xlpm.capacidad,NETWORKDAYS(N$3,N$4,_xlpm.feriados)*INDEX(Consultores!$C$6:$C$65,MATCH($A102,Consultores!$A$6:$A$65,0)),IF(_xlpm.horas=0,"",IFERROR(_xlpm.horas/_xlpm.capacidad,"")))</f>
        <v/>
      </c>
      <c r="U102" s="34">
        <f>_xlfn.LET(_xlpm.horas,O102,_xlpm.feriados,IF($H102="CO",FER_CO,FER_EC),_xlpm.capacidad,NETWORKDAYS(O$3,O$4,_xlpm.feriados)*INDEX(Consultores!$C$6:$C$65,MATCH($A102,Consultores!$A$6:$A$65,0)),IF(_xlpm.horas=0,"",IFERROR(_xlpm.horas/_xlpm.capacidad,"")))</f>
        <v/>
      </c>
    </row>
    <row r="103">
      <c r="A103" s="25" t="n"/>
      <c r="B103" s="25" t="n"/>
      <c r="C103" s="25" t="n"/>
      <c r="D103" s="30" t="n"/>
      <c r="E103" s="30" t="n"/>
      <c r="F103" s="26" t="n"/>
      <c r="G103" s="25" t="n"/>
      <c r="H103" s="31">
        <f>IF($A103="","",IFERROR(INDEX(Consultores!$B$6:$B$65,MATCH($A103,Consultores!$A$6:$A$65,0)),"No existe"))</f>
        <v/>
      </c>
      <c r="I103" s="32">
        <f>IF($F103="",0,$F103/5)</f>
        <v/>
      </c>
      <c r="J103" s="33">
        <f>_xlfn.LET(_xlpm.inicio,MAX($D103,J$3),_xlpm.fin,MIN($E103,J$4),_xlpm.feriados,IF($H103="CO",FER_CO,FER_EC),_xlpm.dias,IF(_xlpm.inicio&gt;_xlpm.fin,0,NETWORKDAYS(_xlpm.inicio,_xlpm.fin,_xlpm.feriados)),_xlpm.factor,IF($G103="Probable",IF(Parametros!$B$6="Sí",1,0),1),IF(OR($A103="",$D103="",$E103=""),0,_xlpm.dias*$I103*_xlpm.factor))</f>
        <v/>
      </c>
      <c r="K103" s="33">
        <f>_xlfn.LET(_xlpm.inicio,MAX($D103,K$3),_xlpm.fin,MIN($E103,K$4),_xlpm.feriados,IF($H103="CO",FER_CO,FER_EC),_xlpm.dias,IF(_xlpm.inicio&gt;_xlpm.fin,0,NETWORKDAYS(_xlpm.inicio,_xlpm.fin,_xlpm.feriados)),_xlpm.factor,IF($G103="Probable",IF(Parametros!$B$6="Sí",1,0),1),IF(OR($A103="",$D103="",$E103=""),0,_xlpm.dias*$I103*_xlpm.factor))</f>
        <v/>
      </c>
      <c r="L103" s="33">
        <f>_xlfn.LET(_xlpm.inicio,MAX($D103,L$3),_xlpm.fin,MIN($E103,L$4),_xlpm.feriados,IF($H103="CO",FER_CO,FER_EC),_xlpm.dias,IF(_xlpm.inicio&gt;_xlpm.fin,0,NETWORKDAYS(_xlpm.inicio,_xlpm.fin,_xlpm.feriados)),_xlpm.factor,IF($G103="Probable",IF(Parametros!$B$6="Sí",1,0),1),IF(OR($A103="",$D103="",$E103=""),0,_xlpm.dias*$I103*_xlpm.factor))</f>
        <v/>
      </c>
      <c r="M103" s="33">
        <f>_xlfn.LET(_xlpm.inicio,MAX($D103,M$3),_xlpm.fin,MIN($E103,M$4),_xlpm.feriados,IF($H103="CO",FER_CO,FER_EC),_xlpm.dias,IF(_xlpm.inicio&gt;_xlpm.fin,0,NETWORKDAYS(_xlpm.inicio,_xlpm.fin,_xlpm.feriados)),_xlpm.factor,IF($G103="Probable",IF(Parametros!$B$6="Sí",1,0),1),IF(OR($A103="",$D103="",$E103=""),0,_xlpm.dias*$I103*_xlpm.factor))</f>
        <v/>
      </c>
      <c r="N103" s="33">
        <f>_xlfn.LET(_xlpm.inicio,MAX($D103,N$3),_xlpm.fin,MIN($E103,N$4),_xlpm.feriados,IF($H103="CO",FER_CO,FER_EC),_xlpm.dias,IF(_xlpm.inicio&gt;_xlpm.fin,0,NETWORKDAYS(_xlpm.inicio,_xlpm.fin,_xlpm.feriados)),_xlpm.factor,IF($G103="Probable",IF(Parametros!$B$6="Sí",1,0),1),IF(OR($A103="",$D103="",$E103=""),0,_xlpm.dias*$I103*_xlpm.factor))</f>
        <v/>
      </c>
      <c r="O103" s="33">
        <f>_xlfn.LET(_xlpm.inicio,MAX($D103,O$3),_xlpm.fin,MIN($E103,O$4),_xlpm.feriados,IF($H103="CO",FER_CO,FER_EC),_xlpm.dias,IF(_xlpm.inicio&gt;_xlpm.fin,0,NETWORKDAYS(_xlpm.inicio,_xlpm.fin,_xlpm.feriados)),_xlpm.factor,IF($G103="Probable",IF(Parametros!$B$6="Sí",1,0),1),IF(OR($A103="",$D103="",$E103=""),0,_xlpm.dias*$I103*_xlpm.factor))</f>
        <v/>
      </c>
      <c r="P103" s="34">
        <f>_xlfn.LET(_xlpm.horas,J103,_xlpm.feriados,IF($H103="CO",FER_CO,FER_EC),_xlpm.capacidad,NETWORKDAYS(J$3,J$4,_xlpm.feriados)*INDEX(Consultores!$C$6:$C$65,MATCH($A103,Consultores!$A$6:$A$65,0)),IF(_xlpm.horas=0,"",IFERROR(_xlpm.horas/_xlpm.capacidad,"")))</f>
        <v/>
      </c>
      <c r="Q103" s="34">
        <f>_xlfn.LET(_xlpm.horas,K103,_xlpm.feriados,IF($H103="CO",FER_CO,FER_EC),_xlpm.capacidad,NETWORKDAYS(K$3,K$4,_xlpm.feriados)*INDEX(Consultores!$C$6:$C$65,MATCH($A103,Consultores!$A$6:$A$65,0)),IF(_xlpm.horas=0,"",IFERROR(_xlpm.horas/_xlpm.capacidad,"")))</f>
        <v/>
      </c>
      <c r="R103" s="34">
        <f>_xlfn.LET(_xlpm.horas,L103,_xlpm.feriados,IF($H103="CO",FER_CO,FER_EC),_xlpm.capacidad,NETWORKDAYS(L$3,L$4,_xlpm.feriados)*INDEX(Consultores!$C$6:$C$65,MATCH($A103,Consultores!$A$6:$A$65,0)),IF(_xlpm.horas=0,"",IFERROR(_xlpm.horas/_xlpm.capacidad,"")))</f>
        <v/>
      </c>
      <c r="S103" s="34">
        <f>_xlfn.LET(_xlpm.horas,M103,_xlpm.feriados,IF($H103="CO",FER_CO,FER_EC),_xlpm.capacidad,NETWORKDAYS(M$3,M$4,_xlpm.feriados)*INDEX(Consultores!$C$6:$C$65,MATCH($A103,Consultores!$A$6:$A$65,0)),IF(_xlpm.horas=0,"",IFERROR(_xlpm.horas/_xlpm.capacidad,"")))</f>
        <v/>
      </c>
      <c r="T103" s="34">
        <f>_xlfn.LET(_xlpm.horas,N103,_xlpm.feriados,IF($H103="CO",FER_CO,FER_EC),_xlpm.capacidad,NETWORKDAYS(N$3,N$4,_xlpm.feriados)*INDEX(Consultores!$C$6:$C$65,MATCH($A103,Consultores!$A$6:$A$65,0)),IF(_xlpm.horas=0,"",IFERROR(_xlpm.horas/_xlpm.capacidad,"")))</f>
        <v/>
      </c>
      <c r="U103" s="34">
        <f>_xlfn.LET(_xlpm.horas,O103,_xlpm.feriados,IF($H103="CO",FER_CO,FER_EC),_xlpm.capacidad,NETWORKDAYS(O$3,O$4,_xlpm.feriados)*INDEX(Consultores!$C$6:$C$65,MATCH($A103,Consultores!$A$6:$A$65,0)),IF(_xlpm.horas=0,"",IFERROR(_xlpm.horas/_xlpm.capacidad,"")))</f>
        <v/>
      </c>
    </row>
    <row r="104">
      <c r="A104" s="25" t="n"/>
      <c r="B104" s="25" t="n"/>
      <c r="C104" s="25" t="n"/>
      <c r="D104" s="30" t="n"/>
      <c r="E104" s="30" t="n"/>
      <c r="F104" s="26" t="n"/>
      <c r="G104" s="25" t="n"/>
      <c r="H104" s="31">
        <f>IF($A104="","",IFERROR(INDEX(Consultores!$B$6:$B$65,MATCH($A104,Consultores!$A$6:$A$65,0)),"No existe"))</f>
        <v/>
      </c>
      <c r="I104" s="32">
        <f>IF($F104="",0,$F104/5)</f>
        <v/>
      </c>
      <c r="J104" s="33">
        <f>_xlfn.LET(_xlpm.inicio,MAX($D104,J$3),_xlpm.fin,MIN($E104,J$4),_xlpm.feriados,IF($H104="CO",FER_CO,FER_EC),_xlpm.dias,IF(_xlpm.inicio&gt;_xlpm.fin,0,NETWORKDAYS(_xlpm.inicio,_xlpm.fin,_xlpm.feriados)),_xlpm.factor,IF($G104="Probable",IF(Parametros!$B$6="Sí",1,0),1),IF(OR($A104="",$D104="",$E104=""),0,_xlpm.dias*$I104*_xlpm.factor))</f>
        <v/>
      </c>
      <c r="K104" s="33">
        <f>_xlfn.LET(_xlpm.inicio,MAX($D104,K$3),_xlpm.fin,MIN($E104,K$4),_xlpm.feriados,IF($H104="CO",FER_CO,FER_EC),_xlpm.dias,IF(_xlpm.inicio&gt;_xlpm.fin,0,NETWORKDAYS(_xlpm.inicio,_xlpm.fin,_xlpm.feriados)),_xlpm.factor,IF($G104="Probable",IF(Parametros!$B$6="Sí",1,0),1),IF(OR($A104="",$D104="",$E104=""),0,_xlpm.dias*$I104*_xlpm.factor))</f>
        <v/>
      </c>
      <c r="L104" s="33">
        <f>_xlfn.LET(_xlpm.inicio,MAX($D104,L$3),_xlpm.fin,MIN($E104,L$4),_xlpm.feriados,IF($H104="CO",FER_CO,FER_EC),_xlpm.dias,IF(_xlpm.inicio&gt;_xlpm.fin,0,NETWORKDAYS(_xlpm.inicio,_xlpm.fin,_xlpm.feriados)),_xlpm.factor,IF($G104="Probable",IF(Parametros!$B$6="Sí",1,0),1),IF(OR($A104="",$D104="",$E104=""),0,_xlpm.dias*$I104*_xlpm.factor))</f>
        <v/>
      </c>
      <c r="M104" s="33">
        <f>_xlfn.LET(_xlpm.inicio,MAX($D104,M$3),_xlpm.fin,MIN($E104,M$4),_xlpm.feriados,IF($H104="CO",FER_CO,FER_EC),_xlpm.dias,IF(_xlpm.inicio&gt;_xlpm.fin,0,NETWORKDAYS(_xlpm.inicio,_xlpm.fin,_xlpm.feriados)),_xlpm.factor,IF($G104="Probable",IF(Parametros!$B$6="Sí",1,0),1),IF(OR($A104="",$D104="",$E104=""),0,_xlpm.dias*$I104*_xlpm.factor))</f>
        <v/>
      </c>
      <c r="N104" s="33">
        <f>_xlfn.LET(_xlpm.inicio,MAX($D104,N$3),_xlpm.fin,MIN($E104,N$4),_xlpm.feriados,IF($H104="CO",FER_CO,FER_EC),_xlpm.dias,IF(_xlpm.inicio&gt;_xlpm.fin,0,NETWORKDAYS(_xlpm.inicio,_xlpm.fin,_xlpm.feriados)),_xlpm.factor,IF($G104="Probable",IF(Parametros!$B$6="Sí",1,0),1),IF(OR($A104="",$D104="",$E104=""),0,_xlpm.dias*$I104*_xlpm.factor))</f>
        <v/>
      </c>
      <c r="O104" s="33">
        <f>_xlfn.LET(_xlpm.inicio,MAX($D104,O$3),_xlpm.fin,MIN($E104,O$4),_xlpm.feriados,IF($H104="CO",FER_CO,FER_EC),_xlpm.dias,IF(_xlpm.inicio&gt;_xlpm.fin,0,NETWORKDAYS(_xlpm.inicio,_xlpm.fin,_xlpm.feriados)),_xlpm.factor,IF($G104="Probable",IF(Parametros!$B$6="Sí",1,0),1),IF(OR($A104="",$D104="",$E104=""),0,_xlpm.dias*$I104*_xlpm.factor))</f>
        <v/>
      </c>
      <c r="P104" s="34">
        <f>_xlfn.LET(_xlpm.horas,J104,_xlpm.feriados,IF($H104="CO",FER_CO,FER_EC),_xlpm.capacidad,NETWORKDAYS(J$3,J$4,_xlpm.feriados)*INDEX(Consultores!$C$6:$C$65,MATCH($A104,Consultores!$A$6:$A$65,0)),IF(_xlpm.horas=0,"",IFERROR(_xlpm.horas/_xlpm.capacidad,"")))</f>
        <v/>
      </c>
      <c r="Q104" s="34">
        <f>_xlfn.LET(_xlpm.horas,K104,_xlpm.feriados,IF($H104="CO",FER_CO,FER_EC),_xlpm.capacidad,NETWORKDAYS(K$3,K$4,_xlpm.feriados)*INDEX(Consultores!$C$6:$C$65,MATCH($A104,Consultores!$A$6:$A$65,0)),IF(_xlpm.horas=0,"",IFERROR(_xlpm.horas/_xlpm.capacidad,"")))</f>
        <v/>
      </c>
      <c r="R104" s="34">
        <f>_xlfn.LET(_xlpm.horas,L104,_xlpm.feriados,IF($H104="CO",FER_CO,FER_EC),_xlpm.capacidad,NETWORKDAYS(L$3,L$4,_xlpm.feriados)*INDEX(Consultores!$C$6:$C$65,MATCH($A104,Consultores!$A$6:$A$65,0)),IF(_xlpm.horas=0,"",IFERROR(_xlpm.horas/_xlpm.capacidad,"")))</f>
        <v/>
      </c>
      <c r="S104" s="34">
        <f>_xlfn.LET(_xlpm.horas,M104,_xlpm.feriados,IF($H104="CO",FER_CO,FER_EC),_xlpm.capacidad,NETWORKDAYS(M$3,M$4,_xlpm.feriados)*INDEX(Consultores!$C$6:$C$65,MATCH($A104,Consultores!$A$6:$A$65,0)),IF(_xlpm.horas=0,"",IFERROR(_xlpm.horas/_xlpm.capacidad,"")))</f>
        <v/>
      </c>
      <c r="T104" s="34">
        <f>_xlfn.LET(_xlpm.horas,N104,_xlpm.feriados,IF($H104="CO",FER_CO,FER_EC),_xlpm.capacidad,NETWORKDAYS(N$3,N$4,_xlpm.feriados)*INDEX(Consultores!$C$6:$C$65,MATCH($A104,Consultores!$A$6:$A$65,0)),IF(_xlpm.horas=0,"",IFERROR(_xlpm.horas/_xlpm.capacidad,"")))</f>
        <v/>
      </c>
      <c r="U104" s="34">
        <f>_xlfn.LET(_xlpm.horas,O104,_xlpm.feriados,IF($H104="CO",FER_CO,FER_EC),_xlpm.capacidad,NETWORKDAYS(O$3,O$4,_xlpm.feriados)*INDEX(Consultores!$C$6:$C$65,MATCH($A104,Consultores!$A$6:$A$65,0)),IF(_xlpm.horas=0,"",IFERROR(_xlpm.horas/_xlpm.capacidad,"")))</f>
        <v/>
      </c>
    </row>
    <row r="105">
      <c r="A105" s="25" t="n"/>
      <c r="B105" s="25" t="n"/>
      <c r="C105" s="25" t="n"/>
      <c r="D105" s="30" t="n"/>
      <c r="E105" s="30" t="n"/>
      <c r="F105" s="26" t="n"/>
      <c r="G105" s="25" t="n"/>
      <c r="H105" s="31">
        <f>IF($A105="","",IFERROR(INDEX(Consultores!$B$6:$B$65,MATCH($A105,Consultores!$A$6:$A$65,0)),"No existe"))</f>
        <v/>
      </c>
      <c r="I105" s="32">
        <f>IF($F105="",0,$F105/5)</f>
        <v/>
      </c>
      <c r="J105" s="33">
        <f>_xlfn.LET(_xlpm.inicio,MAX($D105,J$3),_xlpm.fin,MIN($E105,J$4),_xlpm.feriados,IF($H105="CO",FER_CO,FER_EC),_xlpm.dias,IF(_xlpm.inicio&gt;_xlpm.fin,0,NETWORKDAYS(_xlpm.inicio,_xlpm.fin,_xlpm.feriados)),_xlpm.factor,IF($G105="Probable",IF(Parametros!$B$6="Sí",1,0),1),IF(OR($A105="",$D105="",$E105=""),0,_xlpm.dias*$I105*_xlpm.factor))</f>
        <v/>
      </c>
      <c r="K105" s="33">
        <f>_xlfn.LET(_xlpm.inicio,MAX($D105,K$3),_xlpm.fin,MIN($E105,K$4),_xlpm.feriados,IF($H105="CO",FER_CO,FER_EC),_xlpm.dias,IF(_xlpm.inicio&gt;_xlpm.fin,0,NETWORKDAYS(_xlpm.inicio,_xlpm.fin,_xlpm.feriados)),_xlpm.factor,IF($G105="Probable",IF(Parametros!$B$6="Sí",1,0),1),IF(OR($A105="",$D105="",$E105=""),0,_xlpm.dias*$I105*_xlpm.factor))</f>
        <v/>
      </c>
      <c r="L105" s="33">
        <f>_xlfn.LET(_xlpm.inicio,MAX($D105,L$3),_xlpm.fin,MIN($E105,L$4),_xlpm.feriados,IF($H105="CO",FER_CO,FER_EC),_xlpm.dias,IF(_xlpm.inicio&gt;_xlpm.fin,0,NETWORKDAYS(_xlpm.inicio,_xlpm.fin,_xlpm.feriados)),_xlpm.factor,IF($G105="Probable",IF(Parametros!$B$6="Sí",1,0),1),IF(OR($A105="",$D105="",$E105=""),0,_xlpm.dias*$I105*_xlpm.factor))</f>
        <v/>
      </c>
      <c r="M105" s="33">
        <f>_xlfn.LET(_xlpm.inicio,MAX($D105,M$3),_xlpm.fin,MIN($E105,M$4),_xlpm.feriados,IF($H105="CO",FER_CO,FER_EC),_xlpm.dias,IF(_xlpm.inicio&gt;_xlpm.fin,0,NETWORKDAYS(_xlpm.inicio,_xlpm.fin,_xlpm.feriados)),_xlpm.factor,IF($G105="Probable",IF(Parametros!$B$6="Sí",1,0),1),IF(OR($A105="",$D105="",$E105=""),0,_xlpm.dias*$I105*_xlpm.factor))</f>
        <v/>
      </c>
      <c r="N105" s="33">
        <f>_xlfn.LET(_xlpm.inicio,MAX($D105,N$3),_xlpm.fin,MIN($E105,N$4),_xlpm.feriados,IF($H105="CO",FER_CO,FER_EC),_xlpm.dias,IF(_xlpm.inicio&gt;_xlpm.fin,0,NETWORKDAYS(_xlpm.inicio,_xlpm.fin,_xlpm.feriados)),_xlpm.factor,IF($G105="Probable",IF(Parametros!$B$6="Sí",1,0),1),IF(OR($A105="",$D105="",$E105=""),0,_xlpm.dias*$I105*_xlpm.factor))</f>
        <v/>
      </c>
      <c r="O105" s="33">
        <f>_xlfn.LET(_xlpm.inicio,MAX($D105,O$3),_xlpm.fin,MIN($E105,O$4),_xlpm.feriados,IF($H105="CO",FER_CO,FER_EC),_xlpm.dias,IF(_xlpm.inicio&gt;_xlpm.fin,0,NETWORKDAYS(_xlpm.inicio,_xlpm.fin,_xlpm.feriados)),_xlpm.factor,IF($G105="Probable",IF(Parametros!$B$6="Sí",1,0),1),IF(OR($A105="",$D105="",$E105=""),0,_xlpm.dias*$I105*_xlpm.factor))</f>
        <v/>
      </c>
      <c r="P105" s="34">
        <f>_xlfn.LET(_xlpm.horas,J105,_xlpm.feriados,IF($H105="CO",FER_CO,FER_EC),_xlpm.capacidad,NETWORKDAYS(J$3,J$4,_xlpm.feriados)*INDEX(Consultores!$C$6:$C$65,MATCH($A105,Consultores!$A$6:$A$65,0)),IF(_xlpm.horas=0,"",IFERROR(_xlpm.horas/_xlpm.capacidad,"")))</f>
        <v/>
      </c>
      <c r="Q105" s="34">
        <f>_xlfn.LET(_xlpm.horas,K105,_xlpm.feriados,IF($H105="CO",FER_CO,FER_EC),_xlpm.capacidad,NETWORKDAYS(K$3,K$4,_xlpm.feriados)*INDEX(Consultores!$C$6:$C$65,MATCH($A105,Consultores!$A$6:$A$65,0)),IF(_xlpm.horas=0,"",IFERROR(_xlpm.horas/_xlpm.capacidad,"")))</f>
        <v/>
      </c>
      <c r="R105" s="34">
        <f>_xlfn.LET(_xlpm.horas,L105,_xlpm.feriados,IF($H105="CO",FER_CO,FER_EC),_xlpm.capacidad,NETWORKDAYS(L$3,L$4,_xlpm.feriados)*INDEX(Consultores!$C$6:$C$65,MATCH($A105,Consultores!$A$6:$A$65,0)),IF(_xlpm.horas=0,"",IFERROR(_xlpm.horas/_xlpm.capacidad,"")))</f>
        <v/>
      </c>
      <c r="S105" s="34">
        <f>_xlfn.LET(_xlpm.horas,M105,_xlpm.feriados,IF($H105="CO",FER_CO,FER_EC),_xlpm.capacidad,NETWORKDAYS(M$3,M$4,_xlpm.feriados)*INDEX(Consultores!$C$6:$C$65,MATCH($A105,Consultores!$A$6:$A$65,0)),IF(_xlpm.horas=0,"",IFERROR(_xlpm.horas/_xlpm.capacidad,"")))</f>
        <v/>
      </c>
      <c r="T105" s="34">
        <f>_xlfn.LET(_xlpm.horas,N105,_xlpm.feriados,IF($H105="CO",FER_CO,FER_EC),_xlpm.capacidad,NETWORKDAYS(N$3,N$4,_xlpm.feriados)*INDEX(Consultores!$C$6:$C$65,MATCH($A105,Consultores!$A$6:$A$65,0)),IF(_xlpm.horas=0,"",IFERROR(_xlpm.horas/_xlpm.capacidad,"")))</f>
        <v/>
      </c>
      <c r="U105" s="34">
        <f>_xlfn.LET(_xlpm.horas,O105,_xlpm.feriados,IF($H105="CO",FER_CO,FER_EC),_xlpm.capacidad,NETWORKDAYS(O$3,O$4,_xlpm.feriados)*INDEX(Consultores!$C$6:$C$65,MATCH($A105,Consultores!$A$6:$A$65,0)),IF(_xlpm.horas=0,"",IFERROR(_xlpm.horas/_xlpm.capacidad,"")))</f>
        <v/>
      </c>
    </row>
    <row r="106">
      <c r="A106" s="25" t="n"/>
      <c r="B106" s="25" t="n"/>
      <c r="C106" s="25" t="n"/>
      <c r="D106" s="30" t="n"/>
      <c r="E106" s="30" t="n"/>
      <c r="F106" s="26" t="n"/>
      <c r="G106" s="25" t="n"/>
      <c r="H106" s="31">
        <f>IF($A106="","",IFERROR(INDEX(Consultores!$B$6:$B$65,MATCH($A106,Consultores!$A$6:$A$65,0)),"No existe"))</f>
        <v/>
      </c>
      <c r="I106" s="32">
        <f>IF($F106="",0,$F106/5)</f>
        <v/>
      </c>
      <c r="J106" s="33">
        <f>_xlfn.LET(_xlpm.inicio,MAX($D106,J$3),_xlpm.fin,MIN($E106,J$4),_xlpm.feriados,IF($H106="CO",FER_CO,FER_EC),_xlpm.dias,IF(_xlpm.inicio&gt;_xlpm.fin,0,NETWORKDAYS(_xlpm.inicio,_xlpm.fin,_xlpm.feriados)),_xlpm.factor,IF($G106="Probable",IF(Parametros!$B$6="Sí",1,0),1),IF(OR($A106="",$D106="",$E106=""),0,_xlpm.dias*$I106*_xlpm.factor))</f>
        <v/>
      </c>
      <c r="K106" s="33">
        <f>_xlfn.LET(_xlpm.inicio,MAX($D106,K$3),_xlpm.fin,MIN($E106,K$4),_xlpm.feriados,IF($H106="CO",FER_CO,FER_EC),_xlpm.dias,IF(_xlpm.inicio&gt;_xlpm.fin,0,NETWORKDAYS(_xlpm.inicio,_xlpm.fin,_xlpm.feriados)),_xlpm.factor,IF($G106="Probable",IF(Parametros!$B$6="Sí",1,0),1),IF(OR($A106="",$D106="",$E106=""),0,_xlpm.dias*$I106*_xlpm.factor))</f>
        <v/>
      </c>
      <c r="L106" s="33">
        <f>_xlfn.LET(_xlpm.inicio,MAX($D106,L$3),_xlpm.fin,MIN($E106,L$4),_xlpm.feriados,IF($H106="CO",FER_CO,FER_EC),_xlpm.dias,IF(_xlpm.inicio&gt;_xlpm.fin,0,NETWORKDAYS(_xlpm.inicio,_xlpm.fin,_xlpm.feriados)),_xlpm.factor,IF($G106="Probable",IF(Parametros!$B$6="Sí",1,0),1),IF(OR($A106="",$D106="",$E106=""),0,_xlpm.dias*$I106*_xlpm.factor))</f>
        <v/>
      </c>
      <c r="M106" s="33">
        <f>_xlfn.LET(_xlpm.inicio,MAX($D106,M$3),_xlpm.fin,MIN($E106,M$4),_xlpm.feriados,IF($H106="CO",FER_CO,FER_EC),_xlpm.dias,IF(_xlpm.inicio&gt;_xlpm.fin,0,NETWORKDAYS(_xlpm.inicio,_xlpm.fin,_xlpm.feriados)),_xlpm.factor,IF($G106="Probable",IF(Parametros!$B$6="Sí",1,0),1),IF(OR($A106="",$D106="",$E106=""),0,_xlpm.dias*$I106*_xlpm.factor))</f>
        <v/>
      </c>
      <c r="N106" s="33">
        <f>_xlfn.LET(_xlpm.inicio,MAX($D106,N$3),_xlpm.fin,MIN($E106,N$4),_xlpm.feriados,IF($H106="CO",FER_CO,FER_EC),_xlpm.dias,IF(_xlpm.inicio&gt;_xlpm.fin,0,NETWORKDAYS(_xlpm.inicio,_xlpm.fin,_xlpm.feriados)),_xlpm.factor,IF($G106="Probable",IF(Parametros!$B$6="Sí",1,0),1),IF(OR($A106="",$D106="",$E106=""),0,_xlpm.dias*$I106*_xlpm.factor))</f>
        <v/>
      </c>
      <c r="O106" s="33">
        <f>_xlfn.LET(_xlpm.inicio,MAX($D106,O$3),_xlpm.fin,MIN($E106,O$4),_xlpm.feriados,IF($H106="CO",FER_CO,FER_EC),_xlpm.dias,IF(_xlpm.inicio&gt;_xlpm.fin,0,NETWORKDAYS(_xlpm.inicio,_xlpm.fin,_xlpm.feriados)),_xlpm.factor,IF($G106="Probable",IF(Parametros!$B$6="Sí",1,0),1),IF(OR($A106="",$D106="",$E106=""),0,_xlpm.dias*$I106*_xlpm.factor))</f>
        <v/>
      </c>
      <c r="P106" s="34">
        <f>_xlfn.LET(_xlpm.horas,J106,_xlpm.feriados,IF($H106="CO",FER_CO,FER_EC),_xlpm.capacidad,NETWORKDAYS(J$3,J$4,_xlpm.feriados)*INDEX(Consultores!$C$6:$C$65,MATCH($A106,Consultores!$A$6:$A$65,0)),IF(_xlpm.horas=0,"",IFERROR(_xlpm.horas/_xlpm.capacidad,"")))</f>
        <v/>
      </c>
      <c r="Q106" s="34">
        <f>_xlfn.LET(_xlpm.horas,K106,_xlpm.feriados,IF($H106="CO",FER_CO,FER_EC),_xlpm.capacidad,NETWORKDAYS(K$3,K$4,_xlpm.feriados)*INDEX(Consultores!$C$6:$C$65,MATCH($A106,Consultores!$A$6:$A$65,0)),IF(_xlpm.horas=0,"",IFERROR(_xlpm.horas/_xlpm.capacidad,"")))</f>
        <v/>
      </c>
      <c r="R106" s="34">
        <f>_xlfn.LET(_xlpm.horas,L106,_xlpm.feriados,IF($H106="CO",FER_CO,FER_EC),_xlpm.capacidad,NETWORKDAYS(L$3,L$4,_xlpm.feriados)*INDEX(Consultores!$C$6:$C$65,MATCH($A106,Consultores!$A$6:$A$65,0)),IF(_xlpm.horas=0,"",IFERROR(_xlpm.horas/_xlpm.capacidad,"")))</f>
        <v/>
      </c>
      <c r="S106" s="34">
        <f>_xlfn.LET(_xlpm.horas,M106,_xlpm.feriados,IF($H106="CO",FER_CO,FER_EC),_xlpm.capacidad,NETWORKDAYS(M$3,M$4,_xlpm.feriados)*INDEX(Consultores!$C$6:$C$65,MATCH($A106,Consultores!$A$6:$A$65,0)),IF(_xlpm.horas=0,"",IFERROR(_xlpm.horas/_xlpm.capacidad,"")))</f>
        <v/>
      </c>
      <c r="T106" s="34">
        <f>_xlfn.LET(_xlpm.horas,N106,_xlpm.feriados,IF($H106="CO",FER_CO,FER_EC),_xlpm.capacidad,NETWORKDAYS(N$3,N$4,_xlpm.feriados)*INDEX(Consultores!$C$6:$C$65,MATCH($A106,Consultores!$A$6:$A$65,0)),IF(_xlpm.horas=0,"",IFERROR(_xlpm.horas/_xlpm.capacidad,"")))</f>
        <v/>
      </c>
      <c r="U106" s="34">
        <f>_xlfn.LET(_xlpm.horas,O106,_xlpm.feriados,IF($H106="CO",FER_CO,FER_EC),_xlpm.capacidad,NETWORKDAYS(O$3,O$4,_xlpm.feriados)*INDEX(Consultores!$C$6:$C$65,MATCH($A106,Consultores!$A$6:$A$65,0)),IF(_xlpm.horas=0,"",IFERROR(_xlpm.horas/_xlpm.capacidad,"")))</f>
        <v/>
      </c>
    </row>
    <row r="107">
      <c r="A107" s="25" t="n"/>
      <c r="B107" s="25" t="n"/>
      <c r="C107" s="25" t="n"/>
      <c r="D107" s="30" t="n"/>
      <c r="E107" s="30" t="n"/>
      <c r="F107" s="26" t="n"/>
      <c r="G107" s="25" t="n"/>
      <c r="H107" s="31">
        <f>IF($A107="","",IFERROR(INDEX(Consultores!$B$6:$B$65,MATCH($A107,Consultores!$A$6:$A$65,0)),"No existe"))</f>
        <v/>
      </c>
      <c r="I107" s="32">
        <f>IF($F107="",0,$F107/5)</f>
        <v/>
      </c>
      <c r="J107" s="33">
        <f>_xlfn.LET(_xlpm.inicio,MAX($D107,J$3),_xlpm.fin,MIN($E107,J$4),_xlpm.feriados,IF($H107="CO",FER_CO,FER_EC),_xlpm.dias,IF(_xlpm.inicio&gt;_xlpm.fin,0,NETWORKDAYS(_xlpm.inicio,_xlpm.fin,_xlpm.feriados)),_xlpm.factor,IF($G107="Probable",IF(Parametros!$B$6="Sí",1,0),1),IF(OR($A107="",$D107="",$E107=""),0,_xlpm.dias*$I107*_xlpm.factor))</f>
        <v/>
      </c>
      <c r="K107" s="33">
        <f>_xlfn.LET(_xlpm.inicio,MAX($D107,K$3),_xlpm.fin,MIN($E107,K$4),_xlpm.feriados,IF($H107="CO",FER_CO,FER_EC),_xlpm.dias,IF(_xlpm.inicio&gt;_xlpm.fin,0,NETWORKDAYS(_xlpm.inicio,_xlpm.fin,_xlpm.feriados)),_xlpm.factor,IF($G107="Probable",IF(Parametros!$B$6="Sí",1,0),1),IF(OR($A107="",$D107="",$E107=""),0,_xlpm.dias*$I107*_xlpm.factor))</f>
        <v/>
      </c>
      <c r="L107" s="33">
        <f>_xlfn.LET(_xlpm.inicio,MAX($D107,L$3),_xlpm.fin,MIN($E107,L$4),_xlpm.feriados,IF($H107="CO",FER_CO,FER_EC),_xlpm.dias,IF(_xlpm.inicio&gt;_xlpm.fin,0,NETWORKDAYS(_xlpm.inicio,_xlpm.fin,_xlpm.feriados)),_xlpm.factor,IF($G107="Probable",IF(Parametros!$B$6="Sí",1,0),1),IF(OR($A107="",$D107="",$E107=""),0,_xlpm.dias*$I107*_xlpm.factor))</f>
        <v/>
      </c>
      <c r="M107" s="33">
        <f>_xlfn.LET(_xlpm.inicio,MAX($D107,M$3),_xlpm.fin,MIN($E107,M$4),_xlpm.feriados,IF($H107="CO",FER_CO,FER_EC),_xlpm.dias,IF(_xlpm.inicio&gt;_xlpm.fin,0,NETWORKDAYS(_xlpm.inicio,_xlpm.fin,_xlpm.feriados)),_xlpm.factor,IF($G107="Probable",IF(Parametros!$B$6="Sí",1,0),1),IF(OR($A107="",$D107="",$E107=""),0,_xlpm.dias*$I107*_xlpm.factor))</f>
        <v/>
      </c>
      <c r="N107" s="33">
        <f>_xlfn.LET(_xlpm.inicio,MAX($D107,N$3),_xlpm.fin,MIN($E107,N$4),_xlpm.feriados,IF($H107="CO",FER_CO,FER_EC),_xlpm.dias,IF(_xlpm.inicio&gt;_xlpm.fin,0,NETWORKDAYS(_xlpm.inicio,_xlpm.fin,_xlpm.feriados)),_xlpm.factor,IF($G107="Probable",IF(Parametros!$B$6="Sí",1,0),1),IF(OR($A107="",$D107="",$E107=""),0,_xlpm.dias*$I107*_xlpm.factor))</f>
        <v/>
      </c>
      <c r="O107" s="33">
        <f>_xlfn.LET(_xlpm.inicio,MAX($D107,O$3),_xlpm.fin,MIN($E107,O$4),_xlpm.feriados,IF($H107="CO",FER_CO,FER_EC),_xlpm.dias,IF(_xlpm.inicio&gt;_xlpm.fin,0,NETWORKDAYS(_xlpm.inicio,_xlpm.fin,_xlpm.feriados)),_xlpm.factor,IF($G107="Probable",IF(Parametros!$B$6="Sí",1,0),1),IF(OR($A107="",$D107="",$E107=""),0,_xlpm.dias*$I107*_xlpm.factor))</f>
        <v/>
      </c>
      <c r="P107" s="34">
        <f>_xlfn.LET(_xlpm.horas,J107,_xlpm.feriados,IF($H107="CO",FER_CO,FER_EC),_xlpm.capacidad,NETWORKDAYS(J$3,J$4,_xlpm.feriados)*INDEX(Consultores!$C$6:$C$65,MATCH($A107,Consultores!$A$6:$A$65,0)),IF(_xlpm.horas=0,"",IFERROR(_xlpm.horas/_xlpm.capacidad,"")))</f>
        <v/>
      </c>
      <c r="Q107" s="34">
        <f>_xlfn.LET(_xlpm.horas,K107,_xlpm.feriados,IF($H107="CO",FER_CO,FER_EC),_xlpm.capacidad,NETWORKDAYS(K$3,K$4,_xlpm.feriados)*INDEX(Consultores!$C$6:$C$65,MATCH($A107,Consultores!$A$6:$A$65,0)),IF(_xlpm.horas=0,"",IFERROR(_xlpm.horas/_xlpm.capacidad,"")))</f>
        <v/>
      </c>
      <c r="R107" s="34">
        <f>_xlfn.LET(_xlpm.horas,L107,_xlpm.feriados,IF($H107="CO",FER_CO,FER_EC),_xlpm.capacidad,NETWORKDAYS(L$3,L$4,_xlpm.feriados)*INDEX(Consultores!$C$6:$C$65,MATCH($A107,Consultores!$A$6:$A$65,0)),IF(_xlpm.horas=0,"",IFERROR(_xlpm.horas/_xlpm.capacidad,"")))</f>
        <v/>
      </c>
      <c r="S107" s="34">
        <f>_xlfn.LET(_xlpm.horas,M107,_xlpm.feriados,IF($H107="CO",FER_CO,FER_EC),_xlpm.capacidad,NETWORKDAYS(M$3,M$4,_xlpm.feriados)*INDEX(Consultores!$C$6:$C$65,MATCH($A107,Consultores!$A$6:$A$65,0)),IF(_xlpm.horas=0,"",IFERROR(_xlpm.horas/_xlpm.capacidad,"")))</f>
        <v/>
      </c>
      <c r="T107" s="34">
        <f>_xlfn.LET(_xlpm.horas,N107,_xlpm.feriados,IF($H107="CO",FER_CO,FER_EC),_xlpm.capacidad,NETWORKDAYS(N$3,N$4,_xlpm.feriados)*INDEX(Consultores!$C$6:$C$65,MATCH($A107,Consultores!$A$6:$A$65,0)),IF(_xlpm.horas=0,"",IFERROR(_xlpm.horas/_xlpm.capacidad,"")))</f>
        <v/>
      </c>
      <c r="U107" s="34">
        <f>_xlfn.LET(_xlpm.horas,O107,_xlpm.feriados,IF($H107="CO",FER_CO,FER_EC),_xlpm.capacidad,NETWORKDAYS(O$3,O$4,_xlpm.feriados)*INDEX(Consultores!$C$6:$C$65,MATCH($A107,Consultores!$A$6:$A$65,0)),IF(_xlpm.horas=0,"",IFERROR(_xlpm.horas/_xlpm.capacidad,"")))</f>
        <v/>
      </c>
    </row>
    <row r="108">
      <c r="A108" s="25" t="n"/>
      <c r="B108" s="25" t="n"/>
      <c r="C108" s="25" t="n"/>
      <c r="D108" s="30" t="n"/>
      <c r="E108" s="30" t="n"/>
      <c r="F108" s="26" t="n"/>
      <c r="G108" s="25" t="n"/>
      <c r="H108" s="31">
        <f>IF($A108="","",IFERROR(INDEX(Consultores!$B$6:$B$65,MATCH($A108,Consultores!$A$6:$A$65,0)),"No existe"))</f>
        <v/>
      </c>
      <c r="I108" s="32">
        <f>IF($F108="",0,$F108/5)</f>
        <v/>
      </c>
      <c r="J108" s="33">
        <f>_xlfn.LET(_xlpm.inicio,MAX($D108,J$3),_xlpm.fin,MIN($E108,J$4),_xlpm.feriados,IF($H108="CO",FER_CO,FER_EC),_xlpm.dias,IF(_xlpm.inicio&gt;_xlpm.fin,0,NETWORKDAYS(_xlpm.inicio,_xlpm.fin,_xlpm.feriados)),_xlpm.factor,IF($G108="Probable",IF(Parametros!$B$6="Sí",1,0),1),IF(OR($A108="",$D108="",$E108=""),0,_xlpm.dias*$I108*_xlpm.factor))</f>
        <v/>
      </c>
      <c r="K108" s="33">
        <f>_xlfn.LET(_xlpm.inicio,MAX($D108,K$3),_xlpm.fin,MIN($E108,K$4),_xlpm.feriados,IF($H108="CO",FER_CO,FER_EC),_xlpm.dias,IF(_xlpm.inicio&gt;_xlpm.fin,0,NETWORKDAYS(_xlpm.inicio,_xlpm.fin,_xlpm.feriados)),_xlpm.factor,IF($G108="Probable",IF(Parametros!$B$6="Sí",1,0),1),IF(OR($A108="",$D108="",$E108=""),0,_xlpm.dias*$I108*_xlpm.factor))</f>
        <v/>
      </c>
      <c r="L108" s="33">
        <f>_xlfn.LET(_xlpm.inicio,MAX($D108,L$3),_xlpm.fin,MIN($E108,L$4),_xlpm.feriados,IF($H108="CO",FER_CO,FER_EC),_xlpm.dias,IF(_xlpm.inicio&gt;_xlpm.fin,0,NETWORKDAYS(_xlpm.inicio,_xlpm.fin,_xlpm.feriados)),_xlpm.factor,IF($G108="Probable",IF(Parametros!$B$6="Sí",1,0),1),IF(OR($A108="",$D108="",$E108=""),0,_xlpm.dias*$I108*_xlpm.factor))</f>
        <v/>
      </c>
      <c r="M108" s="33">
        <f>_xlfn.LET(_xlpm.inicio,MAX($D108,M$3),_xlpm.fin,MIN($E108,M$4),_xlpm.feriados,IF($H108="CO",FER_CO,FER_EC),_xlpm.dias,IF(_xlpm.inicio&gt;_xlpm.fin,0,NETWORKDAYS(_xlpm.inicio,_xlpm.fin,_xlpm.feriados)),_xlpm.factor,IF($G108="Probable",IF(Parametros!$B$6="Sí",1,0),1),IF(OR($A108="",$D108="",$E108=""),0,_xlpm.dias*$I108*_xlpm.factor))</f>
        <v/>
      </c>
      <c r="N108" s="33">
        <f>_xlfn.LET(_xlpm.inicio,MAX($D108,N$3),_xlpm.fin,MIN($E108,N$4),_xlpm.feriados,IF($H108="CO",FER_CO,FER_EC),_xlpm.dias,IF(_xlpm.inicio&gt;_xlpm.fin,0,NETWORKDAYS(_xlpm.inicio,_xlpm.fin,_xlpm.feriados)),_xlpm.factor,IF($G108="Probable",IF(Parametros!$B$6="Sí",1,0),1),IF(OR($A108="",$D108="",$E108=""),0,_xlpm.dias*$I108*_xlpm.factor))</f>
        <v/>
      </c>
      <c r="O108" s="33">
        <f>_xlfn.LET(_xlpm.inicio,MAX($D108,O$3),_xlpm.fin,MIN($E108,O$4),_xlpm.feriados,IF($H108="CO",FER_CO,FER_EC),_xlpm.dias,IF(_xlpm.inicio&gt;_xlpm.fin,0,NETWORKDAYS(_xlpm.inicio,_xlpm.fin,_xlpm.feriados)),_xlpm.factor,IF($G108="Probable",IF(Parametros!$B$6="Sí",1,0),1),IF(OR($A108="",$D108="",$E108=""),0,_xlpm.dias*$I108*_xlpm.factor))</f>
        <v/>
      </c>
      <c r="P108" s="34">
        <f>_xlfn.LET(_xlpm.horas,J108,_xlpm.feriados,IF($H108="CO",FER_CO,FER_EC),_xlpm.capacidad,NETWORKDAYS(J$3,J$4,_xlpm.feriados)*INDEX(Consultores!$C$6:$C$65,MATCH($A108,Consultores!$A$6:$A$65,0)),IF(_xlpm.horas=0,"",IFERROR(_xlpm.horas/_xlpm.capacidad,"")))</f>
        <v/>
      </c>
      <c r="Q108" s="34">
        <f>_xlfn.LET(_xlpm.horas,K108,_xlpm.feriados,IF($H108="CO",FER_CO,FER_EC),_xlpm.capacidad,NETWORKDAYS(K$3,K$4,_xlpm.feriados)*INDEX(Consultores!$C$6:$C$65,MATCH($A108,Consultores!$A$6:$A$65,0)),IF(_xlpm.horas=0,"",IFERROR(_xlpm.horas/_xlpm.capacidad,"")))</f>
        <v/>
      </c>
      <c r="R108" s="34">
        <f>_xlfn.LET(_xlpm.horas,L108,_xlpm.feriados,IF($H108="CO",FER_CO,FER_EC),_xlpm.capacidad,NETWORKDAYS(L$3,L$4,_xlpm.feriados)*INDEX(Consultores!$C$6:$C$65,MATCH($A108,Consultores!$A$6:$A$65,0)),IF(_xlpm.horas=0,"",IFERROR(_xlpm.horas/_xlpm.capacidad,"")))</f>
        <v/>
      </c>
      <c r="S108" s="34">
        <f>_xlfn.LET(_xlpm.horas,M108,_xlpm.feriados,IF($H108="CO",FER_CO,FER_EC),_xlpm.capacidad,NETWORKDAYS(M$3,M$4,_xlpm.feriados)*INDEX(Consultores!$C$6:$C$65,MATCH($A108,Consultores!$A$6:$A$65,0)),IF(_xlpm.horas=0,"",IFERROR(_xlpm.horas/_xlpm.capacidad,"")))</f>
        <v/>
      </c>
      <c r="T108" s="34">
        <f>_xlfn.LET(_xlpm.horas,N108,_xlpm.feriados,IF($H108="CO",FER_CO,FER_EC),_xlpm.capacidad,NETWORKDAYS(N$3,N$4,_xlpm.feriados)*INDEX(Consultores!$C$6:$C$65,MATCH($A108,Consultores!$A$6:$A$65,0)),IF(_xlpm.horas=0,"",IFERROR(_xlpm.horas/_xlpm.capacidad,"")))</f>
        <v/>
      </c>
      <c r="U108" s="34">
        <f>_xlfn.LET(_xlpm.horas,O108,_xlpm.feriados,IF($H108="CO",FER_CO,FER_EC),_xlpm.capacidad,NETWORKDAYS(O$3,O$4,_xlpm.feriados)*INDEX(Consultores!$C$6:$C$65,MATCH($A108,Consultores!$A$6:$A$65,0)),IF(_xlpm.horas=0,"",IFERROR(_xlpm.horas/_xlpm.capacidad,"")))</f>
        <v/>
      </c>
    </row>
    <row r="109">
      <c r="A109" s="25" t="n"/>
      <c r="B109" s="25" t="n"/>
      <c r="C109" s="25" t="n"/>
      <c r="D109" s="30" t="n"/>
      <c r="E109" s="30" t="n"/>
      <c r="F109" s="26" t="n"/>
      <c r="G109" s="25" t="n"/>
      <c r="H109" s="31">
        <f>IF($A109="","",IFERROR(INDEX(Consultores!$B$6:$B$65,MATCH($A109,Consultores!$A$6:$A$65,0)),"No existe"))</f>
        <v/>
      </c>
      <c r="I109" s="32">
        <f>IF($F109="",0,$F109/5)</f>
        <v/>
      </c>
      <c r="J109" s="33">
        <f>_xlfn.LET(_xlpm.inicio,MAX($D109,J$3),_xlpm.fin,MIN($E109,J$4),_xlpm.feriados,IF($H109="CO",FER_CO,FER_EC),_xlpm.dias,IF(_xlpm.inicio&gt;_xlpm.fin,0,NETWORKDAYS(_xlpm.inicio,_xlpm.fin,_xlpm.feriados)),_xlpm.factor,IF($G109="Probable",IF(Parametros!$B$6="Sí",1,0),1),IF(OR($A109="",$D109="",$E109=""),0,_xlpm.dias*$I109*_xlpm.factor))</f>
        <v/>
      </c>
      <c r="K109" s="33">
        <f>_xlfn.LET(_xlpm.inicio,MAX($D109,K$3),_xlpm.fin,MIN($E109,K$4),_xlpm.feriados,IF($H109="CO",FER_CO,FER_EC),_xlpm.dias,IF(_xlpm.inicio&gt;_xlpm.fin,0,NETWORKDAYS(_xlpm.inicio,_xlpm.fin,_xlpm.feriados)),_xlpm.factor,IF($G109="Probable",IF(Parametros!$B$6="Sí",1,0),1),IF(OR($A109="",$D109="",$E109=""),0,_xlpm.dias*$I109*_xlpm.factor))</f>
        <v/>
      </c>
      <c r="L109" s="33">
        <f>_xlfn.LET(_xlpm.inicio,MAX($D109,L$3),_xlpm.fin,MIN($E109,L$4),_xlpm.feriados,IF($H109="CO",FER_CO,FER_EC),_xlpm.dias,IF(_xlpm.inicio&gt;_xlpm.fin,0,NETWORKDAYS(_xlpm.inicio,_xlpm.fin,_xlpm.feriados)),_xlpm.factor,IF($G109="Probable",IF(Parametros!$B$6="Sí",1,0),1),IF(OR($A109="",$D109="",$E109=""),0,_xlpm.dias*$I109*_xlpm.factor))</f>
        <v/>
      </c>
      <c r="M109" s="33">
        <f>_xlfn.LET(_xlpm.inicio,MAX($D109,M$3),_xlpm.fin,MIN($E109,M$4),_xlpm.feriados,IF($H109="CO",FER_CO,FER_EC),_xlpm.dias,IF(_xlpm.inicio&gt;_xlpm.fin,0,NETWORKDAYS(_xlpm.inicio,_xlpm.fin,_xlpm.feriados)),_xlpm.factor,IF($G109="Probable",IF(Parametros!$B$6="Sí",1,0),1),IF(OR($A109="",$D109="",$E109=""),0,_xlpm.dias*$I109*_xlpm.factor))</f>
        <v/>
      </c>
      <c r="N109" s="33">
        <f>_xlfn.LET(_xlpm.inicio,MAX($D109,N$3),_xlpm.fin,MIN($E109,N$4),_xlpm.feriados,IF($H109="CO",FER_CO,FER_EC),_xlpm.dias,IF(_xlpm.inicio&gt;_xlpm.fin,0,NETWORKDAYS(_xlpm.inicio,_xlpm.fin,_xlpm.feriados)),_xlpm.factor,IF($G109="Probable",IF(Parametros!$B$6="Sí",1,0),1),IF(OR($A109="",$D109="",$E109=""),0,_xlpm.dias*$I109*_xlpm.factor))</f>
        <v/>
      </c>
      <c r="O109" s="33">
        <f>_xlfn.LET(_xlpm.inicio,MAX($D109,O$3),_xlpm.fin,MIN($E109,O$4),_xlpm.feriados,IF($H109="CO",FER_CO,FER_EC),_xlpm.dias,IF(_xlpm.inicio&gt;_xlpm.fin,0,NETWORKDAYS(_xlpm.inicio,_xlpm.fin,_xlpm.feriados)),_xlpm.factor,IF($G109="Probable",IF(Parametros!$B$6="Sí",1,0),1),IF(OR($A109="",$D109="",$E109=""),0,_xlpm.dias*$I109*_xlpm.factor))</f>
        <v/>
      </c>
      <c r="P109" s="34">
        <f>_xlfn.LET(_xlpm.horas,J109,_xlpm.feriados,IF($H109="CO",FER_CO,FER_EC),_xlpm.capacidad,NETWORKDAYS(J$3,J$4,_xlpm.feriados)*INDEX(Consultores!$C$6:$C$65,MATCH($A109,Consultores!$A$6:$A$65,0)),IF(_xlpm.horas=0,"",IFERROR(_xlpm.horas/_xlpm.capacidad,"")))</f>
        <v/>
      </c>
      <c r="Q109" s="34">
        <f>_xlfn.LET(_xlpm.horas,K109,_xlpm.feriados,IF($H109="CO",FER_CO,FER_EC),_xlpm.capacidad,NETWORKDAYS(K$3,K$4,_xlpm.feriados)*INDEX(Consultores!$C$6:$C$65,MATCH($A109,Consultores!$A$6:$A$65,0)),IF(_xlpm.horas=0,"",IFERROR(_xlpm.horas/_xlpm.capacidad,"")))</f>
        <v/>
      </c>
      <c r="R109" s="34">
        <f>_xlfn.LET(_xlpm.horas,L109,_xlpm.feriados,IF($H109="CO",FER_CO,FER_EC),_xlpm.capacidad,NETWORKDAYS(L$3,L$4,_xlpm.feriados)*INDEX(Consultores!$C$6:$C$65,MATCH($A109,Consultores!$A$6:$A$65,0)),IF(_xlpm.horas=0,"",IFERROR(_xlpm.horas/_xlpm.capacidad,"")))</f>
        <v/>
      </c>
      <c r="S109" s="34">
        <f>_xlfn.LET(_xlpm.horas,M109,_xlpm.feriados,IF($H109="CO",FER_CO,FER_EC),_xlpm.capacidad,NETWORKDAYS(M$3,M$4,_xlpm.feriados)*INDEX(Consultores!$C$6:$C$65,MATCH($A109,Consultores!$A$6:$A$65,0)),IF(_xlpm.horas=0,"",IFERROR(_xlpm.horas/_xlpm.capacidad,"")))</f>
        <v/>
      </c>
      <c r="T109" s="34">
        <f>_xlfn.LET(_xlpm.horas,N109,_xlpm.feriados,IF($H109="CO",FER_CO,FER_EC),_xlpm.capacidad,NETWORKDAYS(N$3,N$4,_xlpm.feriados)*INDEX(Consultores!$C$6:$C$65,MATCH($A109,Consultores!$A$6:$A$65,0)),IF(_xlpm.horas=0,"",IFERROR(_xlpm.horas/_xlpm.capacidad,"")))</f>
        <v/>
      </c>
      <c r="U109" s="34">
        <f>_xlfn.LET(_xlpm.horas,O109,_xlpm.feriados,IF($H109="CO",FER_CO,FER_EC),_xlpm.capacidad,NETWORKDAYS(O$3,O$4,_xlpm.feriados)*INDEX(Consultores!$C$6:$C$65,MATCH($A109,Consultores!$A$6:$A$65,0)),IF(_xlpm.horas=0,"",IFERROR(_xlpm.horas/_xlpm.capacidad,"")))</f>
        <v/>
      </c>
    </row>
    <row r="110">
      <c r="A110" s="25" t="n"/>
      <c r="B110" s="25" t="n"/>
      <c r="C110" s="25" t="n"/>
      <c r="D110" s="30" t="n"/>
      <c r="E110" s="30" t="n"/>
      <c r="F110" s="26" t="n"/>
      <c r="G110" s="25" t="n"/>
      <c r="H110" s="31">
        <f>IF($A110="","",IFERROR(INDEX(Consultores!$B$6:$B$65,MATCH($A110,Consultores!$A$6:$A$65,0)),"No existe"))</f>
        <v/>
      </c>
      <c r="I110" s="32">
        <f>IF($F110="",0,$F110/5)</f>
        <v/>
      </c>
      <c r="J110" s="33">
        <f>_xlfn.LET(_xlpm.inicio,MAX($D110,J$3),_xlpm.fin,MIN($E110,J$4),_xlpm.feriados,IF($H110="CO",FER_CO,FER_EC),_xlpm.dias,IF(_xlpm.inicio&gt;_xlpm.fin,0,NETWORKDAYS(_xlpm.inicio,_xlpm.fin,_xlpm.feriados)),_xlpm.factor,IF($G110="Probable",IF(Parametros!$B$6="Sí",1,0),1),IF(OR($A110="",$D110="",$E110=""),0,_xlpm.dias*$I110*_xlpm.factor))</f>
        <v/>
      </c>
      <c r="K110" s="33">
        <f>_xlfn.LET(_xlpm.inicio,MAX($D110,K$3),_xlpm.fin,MIN($E110,K$4),_xlpm.feriados,IF($H110="CO",FER_CO,FER_EC),_xlpm.dias,IF(_xlpm.inicio&gt;_xlpm.fin,0,NETWORKDAYS(_xlpm.inicio,_xlpm.fin,_xlpm.feriados)),_xlpm.factor,IF($G110="Probable",IF(Parametros!$B$6="Sí",1,0),1),IF(OR($A110="",$D110="",$E110=""),0,_xlpm.dias*$I110*_xlpm.factor))</f>
        <v/>
      </c>
      <c r="L110" s="33">
        <f>_xlfn.LET(_xlpm.inicio,MAX($D110,L$3),_xlpm.fin,MIN($E110,L$4),_xlpm.feriados,IF($H110="CO",FER_CO,FER_EC),_xlpm.dias,IF(_xlpm.inicio&gt;_xlpm.fin,0,NETWORKDAYS(_xlpm.inicio,_xlpm.fin,_xlpm.feriados)),_xlpm.factor,IF($G110="Probable",IF(Parametros!$B$6="Sí",1,0),1),IF(OR($A110="",$D110="",$E110=""),0,_xlpm.dias*$I110*_xlpm.factor))</f>
        <v/>
      </c>
      <c r="M110" s="33">
        <f>_xlfn.LET(_xlpm.inicio,MAX($D110,M$3),_xlpm.fin,MIN($E110,M$4),_xlpm.feriados,IF($H110="CO",FER_CO,FER_EC),_xlpm.dias,IF(_xlpm.inicio&gt;_xlpm.fin,0,NETWORKDAYS(_xlpm.inicio,_xlpm.fin,_xlpm.feriados)),_xlpm.factor,IF($G110="Probable",IF(Parametros!$B$6="Sí",1,0),1),IF(OR($A110="",$D110="",$E110=""),0,_xlpm.dias*$I110*_xlpm.factor))</f>
        <v/>
      </c>
      <c r="N110" s="33">
        <f>_xlfn.LET(_xlpm.inicio,MAX($D110,N$3),_xlpm.fin,MIN($E110,N$4),_xlpm.feriados,IF($H110="CO",FER_CO,FER_EC),_xlpm.dias,IF(_xlpm.inicio&gt;_xlpm.fin,0,NETWORKDAYS(_xlpm.inicio,_xlpm.fin,_xlpm.feriados)),_xlpm.factor,IF($G110="Probable",IF(Parametros!$B$6="Sí",1,0),1),IF(OR($A110="",$D110="",$E110=""),0,_xlpm.dias*$I110*_xlpm.factor))</f>
        <v/>
      </c>
      <c r="O110" s="33">
        <f>_xlfn.LET(_xlpm.inicio,MAX($D110,O$3),_xlpm.fin,MIN($E110,O$4),_xlpm.feriados,IF($H110="CO",FER_CO,FER_EC),_xlpm.dias,IF(_xlpm.inicio&gt;_xlpm.fin,0,NETWORKDAYS(_xlpm.inicio,_xlpm.fin,_xlpm.feriados)),_xlpm.factor,IF($G110="Probable",IF(Parametros!$B$6="Sí",1,0),1),IF(OR($A110="",$D110="",$E110=""),0,_xlpm.dias*$I110*_xlpm.factor))</f>
        <v/>
      </c>
      <c r="P110" s="34">
        <f>_xlfn.LET(_xlpm.horas,J110,_xlpm.feriados,IF($H110="CO",FER_CO,FER_EC),_xlpm.capacidad,NETWORKDAYS(J$3,J$4,_xlpm.feriados)*INDEX(Consultores!$C$6:$C$65,MATCH($A110,Consultores!$A$6:$A$65,0)),IF(_xlpm.horas=0,"",IFERROR(_xlpm.horas/_xlpm.capacidad,"")))</f>
        <v/>
      </c>
      <c r="Q110" s="34">
        <f>_xlfn.LET(_xlpm.horas,K110,_xlpm.feriados,IF($H110="CO",FER_CO,FER_EC),_xlpm.capacidad,NETWORKDAYS(K$3,K$4,_xlpm.feriados)*INDEX(Consultores!$C$6:$C$65,MATCH($A110,Consultores!$A$6:$A$65,0)),IF(_xlpm.horas=0,"",IFERROR(_xlpm.horas/_xlpm.capacidad,"")))</f>
        <v/>
      </c>
      <c r="R110" s="34">
        <f>_xlfn.LET(_xlpm.horas,L110,_xlpm.feriados,IF($H110="CO",FER_CO,FER_EC),_xlpm.capacidad,NETWORKDAYS(L$3,L$4,_xlpm.feriados)*INDEX(Consultores!$C$6:$C$65,MATCH($A110,Consultores!$A$6:$A$65,0)),IF(_xlpm.horas=0,"",IFERROR(_xlpm.horas/_xlpm.capacidad,"")))</f>
        <v/>
      </c>
      <c r="S110" s="34">
        <f>_xlfn.LET(_xlpm.horas,M110,_xlpm.feriados,IF($H110="CO",FER_CO,FER_EC),_xlpm.capacidad,NETWORKDAYS(M$3,M$4,_xlpm.feriados)*INDEX(Consultores!$C$6:$C$65,MATCH($A110,Consultores!$A$6:$A$65,0)),IF(_xlpm.horas=0,"",IFERROR(_xlpm.horas/_xlpm.capacidad,"")))</f>
        <v/>
      </c>
      <c r="T110" s="34">
        <f>_xlfn.LET(_xlpm.horas,N110,_xlpm.feriados,IF($H110="CO",FER_CO,FER_EC),_xlpm.capacidad,NETWORKDAYS(N$3,N$4,_xlpm.feriados)*INDEX(Consultores!$C$6:$C$65,MATCH($A110,Consultores!$A$6:$A$65,0)),IF(_xlpm.horas=0,"",IFERROR(_xlpm.horas/_xlpm.capacidad,"")))</f>
        <v/>
      </c>
      <c r="U110" s="34">
        <f>_xlfn.LET(_xlpm.horas,O110,_xlpm.feriados,IF($H110="CO",FER_CO,FER_EC),_xlpm.capacidad,NETWORKDAYS(O$3,O$4,_xlpm.feriados)*INDEX(Consultores!$C$6:$C$65,MATCH($A110,Consultores!$A$6:$A$65,0)),IF(_xlpm.horas=0,"",IFERROR(_xlpm.horas/_xlpm.capacidad,"")))</f>
        <v/>
      </c>
    </row>
    <row r="111">
      <c r="A111" s="25" t="n"/>
      <c r="B111" s="25" t="n"/>
      <c r="C111" s="25" t="n"/>
      <c r="D111" s="30" t="n"/>
      <c r="E111" s="30" t="n"/>
      <c r="F111" s="26" t="n"/>
      <c r="G111" s="25" t="n"/>
      <c r="H111" s="31">
        <f>IF($A111="","",IFERROR(INDEX(Consultores!$B$6:$B$65,MATCH($A111,Consultores!$A$6:$A$65,0)),"No existe"))</f>
        <v/>
      </c>
      <c r="I111" s="32">
        <f>IF($F111="",0,$F111/5)</f>
        <v/>
      </c>
      <c r="J111" s="33">
        <f>_xlfn.LET(_xlpm.inicio,MAX($D111,J$3),_xlpm.fin,MIN($E111,J$4),_xlpm.feriados,IF($H111="CO",FER_CO,FER_EC),_xlpm.dias,IF(_xlpm.inicio&gt;_xlpm.fin,0,NETWORKDAYS(_xlpm.inicio,_xlpm.fin,_xlpm.feriados)),_xlpm.factor,IF($G111="Probable",IF(Parametros!$B$6="Sí",1,0),1),IF(OR($A111="",$D111="",$E111=""),0,_xlpm.dias*$I111*_xlpm.factor))</f>
        <v/>
      </c>
      <c r="K111" s="33">
        <f>_xlfn.LET(_xlpm.inicio,MAX($D111,K$3),_xlpm.fin,MIN($E111,K$4),_xlpm.feriados,IF($H111="CO",FER_CO,FER_EC),_xlpm.dias,IF(_xlpm.inicio&gt;_xlpm.fin,0,NETWORKDAYS(_xlpm.inicio,_xlpm.fin,_xlpm.feriados)),_xlpm.factor,IF($G111="Probable",IF(Parametros!$B$6="Sí",1,0),1),IF(OR($A111="",$D111="",$E111=""),0,_xlpm.dias*$I111*_xlpm.factor))</f>
        <v/>
      </c>
      <c r="L111" s="33">
        <f>_xlfn.LET(_xlpm.inicio,MAX($D111,L$3),_xlpm.fin,MIN($E111,L$4),_xlpm.feriados,IF($H111="CO",FER_CO,FER_EC),_xlpm.dias,IF(_xlpm.inicio&gt;_xlpm.fin,0,NETWORKDAYS(_xlpm.inicio,_xlpm.fin,_xlpm.feriados)),_xlpm.factor,IF($G111="Probable",IF(Parametros!$B$6="Sí",1,0),1),IF(OR($A111="",$D111="",$E111=""),0,_xlpm.dias*$I111*_xlpm.factor))</f>
        <v/>
      </c>
      <c r="M111" s="33">
        <f>_xlfn.LET(_xlpm.inicio,MAX($D111,M$3),_xlpm.fin,MIN($E111,M$4),_xlpm.feriados,IF($H111="CO",FER_CO,FER_EC),_xlpm.dias,IF(_xlpm.inicio&gt;_xlpm.fin,0,NETWORKDAYS(_xlpm.inicio,_xlpm.fin,_xlpm.feriados)),_xlpm.factor,IF($G111="Probable",IF(Parametros!$B$6="Sí",1,0),1),IF(OR($A111="",$D111="",$E111=""),0,_xlpm.dias*$I111*_xlpm.factor))</f>
        <v/>
      </c>
      <c r="N111" s="33">
        <f>_xlfn.LET(_xlpm.inicio,MAX($D111,N$3),_xlpm.fin,MIN($E111,N$4),_xlpm.feriados,IF($H111="CO",FER_CO,FER_EC),_xlpm.dias,IF(_xlpm.inicio&gt;_xlpm.fin,0,NETWORKDAYS(_xlpm.inicio,_xlpm.fin,_xlpm.feriados)),_xlpm.factor,IF($G111="Probable",IF(Parametros!$B$6="Sí",1,0),1),IF(OR($A111="",$D111="",$E111=""),0,_xlpm.dias*$I111*_xlpm.factor))</f>
        <v/>
      </c>
      <c r="O111" s="33">
        <f>_xlfn.LET(_xlpm.inicio,MAX($D111,O$3),_xlpm.fin,MIN($E111,O$4),_xlpm.feriados,IF($H111="CO",FER_CO,FER_EC),_xlpm.dias,IF(_xlpm.inicio&gt;_xlpm.fin,0,NETWORKDAYS(_xlpm.inicio,_xlpm.fin,_xlpm.feriados)),_xlpm.factor,IF($G111="Probable",IF(Parametros!$B$6="Sí",1,0),1),IF(OR($A111="",$D111="",$E111=""),0,_xlpm.dias*$I111*_xlpm.factor))</f>
        <v/>
      </c>
      <c r="P111" s="34">
        <f>_xlfn.LET(_xlpm.horas,J111,_xlpm.feriados,IF($H111="CO",FER_CO,FER_EC),_xlpm.capacidad,NETWORKDAYS(J$3,J$4,_xlpm.feriados)*INDEX(Consultores!$C$6:$C$65,MATCH($A111,Consultores!$A$6:$A$65,0)),IF(_xlpm.horas=0,"",IFERROR(_xlpm.horas/_xlpm.capacidad,"")))</f>
        <v/>
      </c>
      <c r="Q111" s="34">
        <f>_xlfn.LET(_xlpm.horas,K111,_xlpm.feriados,IF($H111="CO",FER_CO,FER_EC),_xlpm.capacidad,NETWORKDAYS(K$3,K$4,_xlpm.feriados)*INDEX(Consultores!$C$6:$C$65,MATCH($A111,Consultores!$A$6:$A$65,0)),IF(_xlpm.horas=0,"",IFERROR(_xlpm.horas/_xlpm.capacidad,"")))</f>
        <v/>
      </c>
      <c r="R111" s="34">
        <f>_xlfn.LET(_xlpm.horas,L111,_xlpm.feriados,IF($H111="CO",FER_CO,FER_EC),_xlpm.capacidad,NETWORKDAYS(L$3,L$4,_xlpm.feriados)*INDEX(Consultores!$C$6:$C$65,MATCH($A111,Consultores!$A$6:$A$65,0)),IF(_xlpm.horas=0,"",IFERROR(_xlpm.horas/_xlpm.capacidad,"")))</f>
        <v/>
      </c>
      <c r="S111" s="34">
        <f>_xlfn.LET(_xlpm.horas,M111,_xlpm.feriados,IF($H111="CO",FER_CO,FER_EC),_xlpm.capacidad,NETWORKDAYS(M$3,M$4,_xlpm.feriados)*INDEX(Consultores!$C$6:$C$65,MATCH($A111,Consultores!$A$6:$A$65,0)),IF(_xlpm.horas=0,"",IFERROR(_xlpm.horas/_xlpm.capacidad,"")))</f>
        <v/>
      </c>
      <c r="T111" s="34">
        <f>_xlfn.LET(_xlpm.horas,N111,_xlpm.feriados,IF($H111="CO",FER_CO,FER_EC),_xlpm.capacidad,NETWORKDAYS(N$3,N$4,_xlpm.feriados)*INDEX(Consultores!$C$6:$C$65,MATCH($A111,Consultores!$A$6:$A$65,0)),IF(_xlpm.horas=0,"",IFERROR(_xlpm.horas/_xlpm.capacidad,"")))</f>
        <v/>
      </c>
      <c r="U111" s="34">
        <f>_xlfn.LET(_xlpm.horas,O111,_xlpm.feriados,IF($H111="CO",FER_CO,FER_EC),_xlpm.capacidad,NETWORKDAYS(O$3,O$4,_xlpm.feriados)*INDEX(Consultores!$C$6:$C$65,MATCH($A111,Consultores!$A$6:$A$65,0)),IF(_xlpm.horas=0,"",IFERROR(_xlpm.horas/_xlpm.capacidad,"")))</f>
        <v/>
      </c>
    </row>
    <row r="112">
      <c r="A112" s="25" t="n"/>
      <c r="B112" s="25" t="n"/>
      <c r="C112" s="25" t="n"/>
      <c r="D112" s="30" t="n"/>
      <c r="E112" s="30" t="n"/>
      <c r="F112" s="26" t="n"/>
      <c r="G112" s="25" t="n"/>
      <c r="H112" s="31">
        <f>IF($A112="","",IFERROR(INDEX(Consultores!$B$6:$B$65,MATCH($A112,Consultores!$A$6:$A$65,0)),"No existe"))</f>
        <v/>
      </c>
      <c r="I112" s="32">
        <f>IF($F112="",0,$F112/5)</f>
        <v/>
      </c>
      <c r="J112" s="33">
        <f>_xlfn.LET(_xlpm.inicio,MAX($D112,J$3),_xlpm.fin,MIN($E112,J$4),_xlpm.feriados,IF($H112="CO",FER_CO,FER_EC),_xlpm.dias,IF(_xlpm.inicio&gt;_xlpm.fin,0,NETWORKDAYS(_xlpm.inicio,_xlpm.fin,_xlpm.feriados)),_xlpm.factor,IF($G112="Probable",IF(Parametros!$B$6="Sí",1,0),1),IF(OR($A112="",$D112="",$E112=""),0,_xlpm.dias*$I112*_xlpm.factor))</f>
        <v/>
      </c>
      <c r="K112" s="33">
        <f>_xlfn.LET(_xlpm.inicio,MAX($D112,K$3),_xlpm.fin,MIN($E112,K$4),_xlpm.feriados,IF($H112="CO",FER_CO,FER_EC),_xlpm.dias,IF(_xlpm.inicio&gt;_xlpm.fin,0,NETWORKDAYS(_xlpm.inicio,_xlpm.fin,_xlpm.feriados)),_xlpm.factor,IF($G112="Probable",IF(Parametros!$B$6="Sí",1,0),1),IF(OR($A112="",$D112="",$E112=""),0,_xlpm.dias*$I112*_xlpm.factor))</f>
        <v/>
      </c>
      <c r="L112" s="33">
        <f>_xlfn.LET(_xlpm.inicio,MAX($D112,L$3),_xlpm.fin,MIN($E112,L$4),_xlpm.feriados,IF($H112="CO",FER_CO,FER_EC),_xlpm.dias,IF(_xlpm.inicio&gt;_xlpm.fin,0,NETWORKDAYS(_xlpm.inicio,_xlpm.fin,_xlpm.feriados)),_xlpm.factor,IF($G112="Probable",IF(Parametros!$B$6="Sí",1,0),1),IF(OR($A112="",$D112="",$E112=""),0,_xlpm.dias*$I112*_xlpm.factor))</f>
        <v/>
      </c>
      <c r="M112" s="33">
        <f>_xlfn.LET(_xlpm.inicio,MAX($D112,M$3),_xlpm.fin,MIN($E112,M$4),_xlpm.feriados,IF($H112="CO",FER_CO,FER_EC),_xlpm.dias,IF(_xlpm.inicio&gt;_xlpm.fin,0,NETWORKDAYS(_xlpm.inicio,_xlpm.fin,_xlpm.feriados)),_xlpm.factor,IF($G112="Probable",IF(Parametros!$B$6="Sí",1,0),1),IF(OR($A112="",$D112="",$E112=""),0,_xlpm.dias*$I112*_xlpm.factor))</f>
        <v/>
      </c>
      <c r="N112" s="33">
        <f>_xlfn.LET(_xlpm.inicio,MAX($D112,N$3),_xlpm.fin,MIN($E112,N$4),_xlpm.feriados,IF($H112="CO",FER_CO,FER_EC),_xlpm.dias,IF(_xlpm.inicio&gt;_xlpm.fin,0,NETWORKDAYS(_xlpm.inicio,_xlpm.fin,_xlpm.feriados)),_xlpm.factor,IF($G112="Probable",IF(Parametros!$B$6="Sí",1,0),1),IF(OR($A112="",$D112="",$E112=""),0,_xlpm.dias*$I112*_xlpm.factor))</f>
        <v/>
      </c>
      <c r="O112" s="33">
        <f>_xlfn.LET(_xlpm.inicio,MAX($D112,O$3),_xlpm.fin,MIN($E112,O$4),_xlpm.feriados,IF($H112="CO",FER_CO,FER_EC),_xlpm.dias,IF(_xlpm.inicio&gt;_xlpm.fin,0,NETWORKDAYS(_xlpm.inicio,_xlpm.fin,_xlpm.feriados)),_xlpm.factor,IF($G112="Probable",IF(Parametros!$B$6="Sí",1,0),1),IF(OR($A112="",$D112="",$E112=""),0,_xlpm.dias*$I112*_xlpm.factor))</f>
        <v/>
      </c>
      <c r="P112" s="34">
        <f>_xlfn.LET(_xlpm.horas,J112,_xlpm.feriados,IF($H112="CO",FER_CO,FER_EC),_xlpm.capacidad,NETWORKDAYS(J$3,J$4,_xlpm.feriados)*INDEX(Consultores!$C$6:$C$65,MATCH($A112,Consultores!$A$6:$A$65,0)),IF(_xlpm.horas=0,"",IFERROR(_xlpm.horas/_xlpm.capacidad,"")))</f>
        <v/>
      </c>
      <c r="Q112" s="34">
        <f>_xlfn.LET(_xlpm.horas,K112,_xlpm.feriados,IF($H112="CO",FER_CO,FER_EC),_xlpm.capacidad,NETWORKDAYS(K$3,K$4,_xlpm.feriados)*INDEX(Consultores!$C$6:$C$65,MATCH($A112,Consultores!$A$6:$A$65,0)),IF(_xlpm.horas=0,"",IFERROR(_xlpm.horas/_xlpm.capacidad,"")))</f>
        <v/>
      </c>
      <c r="R112" s="34">
        <f>_xlfn.LET(_xlpm.horas,L112,_xlpm.feriados,IF($H112="CO",FER_CO,FER_EC),_xlpm.capacidad,NETWORKDAYS(L$3,L$4,_xlpm.feriados)*INDEX(Consultores!$C$6:$C$65,MATCH($A112,Consultores!$A$6:$A$65,0)),IF(_xlpm.horas=0,"",IFERROR(_xlpm.horas/_xlpm.capacidad,"")))</f>
        <v/>
      </c>
      <c r="S112" s="34">
        <f>_xlfn.LET(_xlpm.horas,M112,_xlpm.feriados,IF($H112="CO",FER_CO,FER_EC),_xlpm.capacidad,NETWORKDAYS(M$3,M$4,_xlpm.feriados)*INDEX(Consultores!$C$6:$C$65,MATCH($A112,Consultores!$A$6:$A$65,0)),IF(_xlpm.horas=0,"",IFERROR(_xlpm.horas/_xlpm.capacidad,"")))</f>
        <v/>
      </c>
      <c r="T112" s="34">
        <f>_xlfn.LET(_xlpm.horas,N112,_xlpm.feriados,IF($H112="CO",FER_CO,FER_EC),_xlpm.capacidad,NETWORKDAYS(N$3,N$4,_xlpm.feriados)*INDEX(Consultores!$C$6:$C$65,MATCH($A112,Consultores!$A$6:$A$65,0)),IF(_xlpm.horas=0,"",IFERROR(_xlpm.horas/_xlpm.capacidad,"")))</f>
        <v/>
      </c>
      <c r="U112" s="34">
        <f>_xlfn.LET(_xlpm.horas,O112,_xlpm.feriados,IF($H112="CO",FER_CO,FER_EC),_xlpm.capacidad,NETWORKDAYS(O$3,O$4,_xlpm.feriados)*INDEX(Consultores!$C$6:$C$65,MATCH($A112,Consultores!$A$6:$A$65,0)),IF(_xlpm.horas=0,"",IFERROR(_xlpm.horas/_xlpm.capacidad,"")))</f>
        <v/>
      </c>
    </row>
    <row r="113">
      <c r="A113" s="25" t="n"/>
      <c r="B113" s="25" t="n"/>
      <c r="C113" s="25" t="n"/>
      <c r="D113" s="30" t="n"/>
      <c r="E113" s="30" t="n"/>
      <c r="F113" s="26" t="n"/>
      <c r="G113" s="25" t="n"/>
      <c r="H113" s="31">
        <f>IF($A113="","",IFERROR(INDEX(Consultores!$B$6:$B$65,MATCH($A113,Consultores!$A$6:$A$65,0)),"No existe"))</f>
        <v/>
      </c>
      <c r="I113" s="32">
        <f>IF($F113="",0,$F113/5)</f>
        <v/>
      </c>
      <c r="J113" s="33">
        <f>_xlfn.LET(_xlpm.inicio,MAX($D113,J$3),_xlpm.fin,MIN($E113,J$4),_xlpm.feriados,IF($H113="CO",FER_CO,FER_EC),_xlpm.dias,IF(_xlpm.inicio&gt;_xlpm.fin,0,NETWORKDAYS(_xlpm.inicio,_xlpm.fin,_xlpm.feriados)),_xlpm.factor,IF($G113="Probable",IF(Parametros!$B$6="Sí",1,0),1),IF(OR($A113="",$D113="",$E113=""),0,_xlpm.dias*$I113*_xlpm.factor))</f>
        <v/>
      </c>
      <c r="K113" s="33">
        <f>_xlfn.LET(_xlpm.inicio,MAX($D113,K$3),_xlpm.fin,MIN($E113,K$4),_xlpm.feriados,IF($H113="CO",FER_CO,FER_EC),_xlpm.dias,IF(_xlpm.inicio&gt;_xlpm.fin,0,NETWORKDAYS(_xlpm.inicio,_xlpm.fin,_xlpm.feriados)),_xlpm.factor,IF($G113="Probable",IF(Parametros!$B$6="Sí",1,0),1),IF(OR($A113="",$D113="",$E113=""),0,_xlpm.dias*$I113*_xlpm.factor))</f>
        <v/>
      </c>
      <c r="L113" s="33">
        <f>_xlfn.LET(_xlpm.inicio,MAX($D113,L$3),_xlpm.fin,MIN($E113,L$4),_xlpm.feriados,IF($H113="CO",FER_CO,FER_EC),_xlpm.dias,IF(_xlpm.inicio&gt;_xlpm.fin,0,NETWORKDAYS(_xlpm.inicio,_xlpm.fin,_xlpm.feriados)),_xlpm.factor,IF($G113="Probable",IF(Parametros!$B$6="Sí",1,0),1),IF(OR($A113="",$D113="",$E113=""),0,_xlpm.dias*$I113*_xlpm.factor))</f>
        <v/>
      </c>
      <c r="M113" s="33">
        <f>_xlfn.LET(_xlpm.inicio,MAX($D113,M$3),_xlpm.fin,MIN($E113,M$4),_xlpm.feriados,IF($H113="CO",FER_CO,FER_EC),_xlpm.dias,IF(_xlpm.inicio&gt;_xlpm.fin,0,NETWORKDAYS(_xlpm.inicio,_xlpm.fin,_xlpm.feriados)),_xlpm.factor,IF($G113="Probable",IF(Parametros!$B$6="Sí",1,0),1),IF(OR($A113="",$D113="",$E113=""),0,_xlpm.dias*$I113*_xlpm.factor))</f>
        <v/>
      </c>
      <c r="N113" s="33">
        <f>_xlfn.LET(_xlpm.inicio,MAX($D113,N$3),_xlpm.fin,MIN($E113,N$4),_xlpm.feriados,IF($H113="CO",FER_CO,FER_EC),_xlpm.dias,IF(_xlpm.inicio&gt;_xlpm.fin,0,NETWORKDAYS(_xlpm.inicio,_xlpm.fin,_xlpm.feriados)),_xlpm.factor,IF($G113="Probable",IF(Parametros!$B$6="Sí",1,0),1),IF(OR($A113="",$D113="",$E113=""),0,_xlpm.dias*$I113*_xlpm.factor))</f>
        <v/>
      </c>
      <c r="O113" s="33">
        <f>_xlfn.LET(_xlpm.inicio,MAX($D113,O$3),_xlpm.fin,MIN($E113,O$4),_xlpm.feriados,IF($H113="CO",FER_CO,FER_EC),_xlpm.dias,IF(_xlpm.inicio&gt;_xlpm.fin,0,NETWORKDAYS(_xlpm.inicio,_xlpm.fin,_xlpm.feriados)),_xlpm.factor,IF($G113="Probable",IF(Parametros!$B$6="Sí",1,0),1),IF(OR($A113="",$D113="",$E113=""),0,_xlpm.dias*$I113*_xlpm.factor))</f>
        <v/>
      </c>
      <c r="P113" s="34">
        <f>_xlfn.LET(_xlpm.horas,J113,_xlpm.feriados,IF($H113="CO",FER_CO,FER_EC),_xlpm.capacidad,NETWORKDAYS(J$3,J$4,_xlpm.feriados)*INDEX(Consultores!$C$6:$C$65,MATCH($A113,Consultores!$A$6:$A$65,0)),IF(_xlpm.horas=0,"",IFERROR(_xlpm.horas/_xlpm.capacidad,"")))</f>
        <v/>
      </c>
      <c r="Q113" s="34">
        <f>_xlfn.LET(_xlpm.horas,K113,_xlpm.feriados,IF($H113="CO",FER_CO,FER_EC),_xlpm.capacidad,NETWORKDAYS(K$3,K$4,_xlpm.feriados)*INDEX(Consultores!$C$6:$C$65,MATCH($A113,Consultores!$A$6:$A$65,0)),IF(_xlpm.horas=0,"",IFERROR(_xlpm.horas/_xlpm.capacidad,"")))</f>
        <v/>
      </c>
      <c r="R113" s="34">
        <f>_xlfn.LET(_xlpm.horas,L113,_xlpm.feriados,IF($H113="CO",FER_CO,FER_EC),_xlpm.capacidad,NETWORKDAYS(L$3,L$4,_xlpm.feriados)*INDEX(Consultores!$C$6:$C$65,MATCH($A113,Consultores!$A$6:$A$65,0)),IF(_xlpm.horas=0,"",IFERROR(_xlpm.horas/_xlpm.capacidad,"")))</f>
        <v/>
      </c>
      <c r="S113" s="34">
        <f>_xlfn.LET(_xlpm.horas,M113,_xlpm.feriados,IF($H113="CO",FER_CO,FER_EC),_xlpm.capacidad,NETWORKDAYS(M$3,M$4,_xlpm.feriados)*INDEX(Consultores!$C$6:$C$65,MATCH($A113,Consultores!$A$6:$A$65,0)),IF(_xlpm.horas=0,"",IFERROR(_xlpm.horas/_xlpm.capacidad,"")))</f>
        <v/>
      </c>
      <c r="T113" s="34">
        <f>_xlfn.LET(_xlpm.horas,N113,_xlpm.feriados,IF($H113="CO",FER_CO,FER_EC),_xlpm.capacidad,NETWORKDAYS(N$3,N$4,_xlpm.feriados)*INDEX(Consultores!$C$6:$C$65,MATCH($A113,Consultores!$A$6:$A$65,0)),IF(_xlpm.horas=0,"",IFERROR(_xlpm.horas/_xlpm.capacidad,"")))</f>
        <v/>
      </c>
      <c r="U113" s="34">
        <f>_xlfn.LET(_xlpm.horas,O113,_xlpm.feriados,IF($H113="CO",FER_CO,FER_EC),_xlpm.capacidad,NETWORKDAYS(O$3,O$4,_xlpm.feriados)*INDEX(Consultores!$C$6:$C$65,MATCH($A113,Consultores!$A$6:$A$65,0)),IF(_xlpm.horas=0,"",IFERROR(_xlpm.horas/_xlpm.capacidad,"")))</f>
        <v/>
      </c>
    </row>
    <row r="114">
      <c r="A114" s="25" t="n"/>
      <c r="B114" s="25" t="n"/>
      <c r="C114" s="25" t="n"/>
      <c r="D114" s="30" t="n"/>
      <c r="E114" s="30" t="n"/>
      <c r="F114" s="26" t="n"/>
      <c r="G114" s="25" t="n"/>
      <c r="H114" s="31">
        <f>IF($A114="","",IFERROR(INDEX(Consultores!$B$6:$B$65,MATCH($A114,Consultores!$A$6:$A$65,0)),"No existe"))</f>
        <v/>
      </c>
      <c r="I114" s="32">
        <f>IF($F114="",0,$F114/5)</f>
        <v/>
      </c>
      <c r="J114" s="33">
        <f>_xlfn.LET(_xlpm.inicio,MAX($D114,J$3),_xlpm.fin,MIN($E114,J$4),_xlpm.feriados,IF($H114="CO",FER_CO,FER_EC),_xlpm.dias,IF(_xlpm.inicio&gt;_xlpm.fin,0,NETWORKDAYS(_xlpm.inicio,_xlpm.fin,_xlpm.feriados)),_xlpm.factor,IF($G114="Probable",IF(Parametros!$B$6="Sí",1,0),1),IF(OR($A114="",$D114="",$E114=""),0,_xlpm.dias*$I114*_xlpm.factor))</f>
        <v/>
      </c>
      <c r="K114" s="33">
        <f>_xlfn.LET(_xlpm.inicio,MAX($D114,K$3),_xlpm.fin,MIN($E114,K$4),_xlpm.feriados,IF($H114="CO",FER_CO,FER_EC),_xlpm.dias,IF(_xlpm.inicio&gt;_xlpm.fin,0,NETWORKDAYS(_xlpm.inicio,_xlpm.fin,_xlpm.feriados)),_xlpm.factor,IF($G114="Probable",IF(Parametros!$B$6="Sí",1,0),1),IF(OR($A114="",$D114="",$E114=""),0,_xlpm.dias*$I114*_xlpm.factor))</f>
        <v/>
      </c>
      <c r="L114" s="33">
        <f>_xlfn.LET(_xlpm.inicio,MAX($D114,L$3),_xlpm.fin,MIN($E114,L$4),_xlpm.feriados,IF($H114="CO",FER_CO,FER_EC),_xlpm.dias,IF(_xlpm.inicio&gt;_xlpm.fin,0,NETWORKDAYS(_xlpm.inicio,_xlpm.fin,_xlpm.feriados)),_xlpm.factor,IF($G114="Probable",IF(Parametros!$B$6="Sí",1,0),1),IF(OR($A114="",$D114="",$E114=""),0,_xlpm.dias*$I114*_xlpm.factor))</f>
        <v/>
      </c>
      <c r="M114" s="33">
        <f>_xlfn.LET(_xlpm.inicio,MAX($D114,M$3),_xlpm.fin,MIN($E114,M$4),_xlpm.feriados,IF($H114="CO",FER_CO,FER_EC),_xlpm.dias,IF(_xlpm.inicio&gt;_xlpm.fin,0,NETWORKDAYS(_xlpm.inicio,_xlpm.fin,_xlpm.feriados)),_xlpm.factor,IF($G114="Probable",IF(Parametros!$B$6="Sí",1,0),1),IF(OR($A114="",$D114="",$E114=""),0,_xlpm.dias*$I114*_xlpm.factor))</f>
        <v/>
      </c>
      <c r="N114" s="33">
        <f>_xlfn.LET(_xlpm.inicio,MAX($D114,N$3),_xlpm.fin,MIN($E114,N$4),_xlpm.feriados,IF($H114="CO",FER_CO,FER_EC),_xlpm.dias,IF(_xlpm.inicio&gt;_xlpm.fin,0,NETWORKDAYS(_xlpm.inicio,_xlpm.fin,_xlpm.feriados)),_xlpm.factor,IF($G114="Probable",IF(Parametros!$B$6="Sí",1,0),1),IF(OR($A114="",$D114="",$E114=""),0,_xlpm.dias*$I114*_xlpm.factor))</f>
        <v/>
      </c>
      <c r="O114" s="33">
        <f>_xlfn.LET(_xlpm.inicio,MAX($D114,O$3),_xlpm.fin,MIN($E114,O$4),_xlpm.feriados,IF($H114="CO",FER_CO,FER_EC),_xlpm.dias,IF(_xlpm.inicio&gt;_xlpm.fin,0,NETWORKDAYS(_xlpm.inicio,_xlpm.fin,_xlpm.feriados)),_xlpm.factor,IF($G114="Probable",IF(Parametros!$B$6="Sí",1,0),1),IF(OR($A114="",$D114="",$E114=""),0,_xlpm.dias*$I114*_xlpm.factor))</f>
        <v/>
      </c>
      <c r="P114" s="34">
        <f>_xlfn.LET(_xlpm.horas,J114,_xlpm.feriados,IF($H114="CO",FER_CO,FER_EC),_xlpm.capacidad,NETWORKDAYS(J$3,J$4,_xlpm.feriados)*INDEX(Consultores!$C$6:$C$65,MATCH($A114,Consultores!$A$6:$A$65,0)),IF(_xlpm.horas=0,"",IFERROR(_xlpm.horas/_xlpm.capacidad,"")))</f>
        <v/>
      </c>
      <c r="Q114" s="34">
        <f>_xlfn.LET(_xlpm.horas,K114,_xlpm.feriados,IF($H114="CO",FER_CO,FER_EC),_xlpm.capacidad,NETWORKDAYS(K$3,K$4,_xlpm.feriados)*INDEX(Consultores!$C$6:$C$65,MATCH($A114,Consultores!$A$6:$A$65,0)),IF(_xlpm.horas=0,"",IFERROR(_xlpm.horas/_xlpm.capacidad,"")))</f>
        <v/>
      </c>
      <c r="R114" s="34">
        <f>_xlfn.LET(_xlpm.horas,L114,_xlpm.feriados,IF($H114="CO",FER_CO,FER_EC),_xlpm.capacidad,NETWORKDAYS(L$3,L$4,_xlpm.feriados)*INDEX(Consultores!$C$6:$C$65,MATCH($A114,Consultores!$A$6:$A$65,0)),IF(_xlpm.horas=0,"",IFERROR(_xlpm.horas/_xlpm.capacidad,"")))</f>
        <v/>
      </c>
      <c r="S114" s="34">
        <f>_xlfn.LET(_xlpm.horas,M114,_xlpm.feriados,IF($H114="CO",FER_CO,FER_EC),_xlpm.capacidad,NETWORKDAYS(M$3,M$4,_xlpm.feriados)*INDEX(Consultores!$C$6:$C$65,MATCH($A114,Consultores!$A$6:$A$65,0)),IF(_xlpm.horas=0,"",IFERROR(_xlpm.horas/_xlpm.capacidad,"")))</f>
        <v/>
      </c>
      <c r="T114" s="34">
        <f>_xlfn.LET(_xlpm.horas,N114,_xlpm.feriados,IF($H114="CO",FER_CO,FER_EC),_xlpm.capacidad,NETWORKDAYS(N$3,N$4,_xlpm.feriados)*INDEX(Consultores!$C$6:$C$65,MATCH($A114,Consultores!$A$6:$A$65,0)),IF(_xlpm.horas=0,"",IFERROR(_xlpm.horas/_xlpm.capacidad,"")))</f>
        <v/>
      </c>
      <c r="U114" s="34">
        <f>_xlfn.LET(_xlpm.horas,O114,_xlpm.feriados,IF($H114="CO",FER_CO,FER_EC),_xlpm.capacidad,NETWORKDAYS(O$3,O$4,_xlpm.feriados)*INDEX(Consultores!$C$6:$C$65,MATCH($A114,Consultores!$A$6:$A$65,0)),IF(_xlpm.horas=0,"",IFERROR(_xlpm.horas/_xlpm.capacidad,"")))</f>
        <v/>
      </c>
    </row>
    <row r="115">
      <c r="A115" s="25" t="n"/>
      <c r="B115" s="25" t="n"/>
      <c r="C115" s="25" t="n"/>
      <c r="D115" s="30" t="n"/>
      <c r="E115" s="30" t="n"/>
      <c r="F115" s="26" t="n"/>
      <c r="G115" s="25" t="n"/>
      <c r="H115" s="31">
        <f>IF($A115="","",IFERROR(INDEX(Consultores!$B$6:$B$65,MATCH($A115,Consultores!$A$6:$A$65,0)),"No existe"))</f>
        <v/>
      </c>
      <c r="I115" s="32">
        <f>IF($F115="",0,$F115/5)</f>
        <v/>
      </c>
      <c r="J115" s="33">
        <f>_xlfn.LET(_xlpm.inicio,MAX($D115,J$3),_xlpm.fin,MIN($E115,J$4),_xlpm.feriados,IF($H115="CO",FER_CO,FER_EC),_xlpm.dias,IF(_xlpm.inicio&gt;_xlpm.fin,0,NETWORKDAYS(_xlpm.inicio,_xlpm.fin,_xlpm.feriados)),_xlpm.factor,IF($G115="Probable",IF(Parametros!$B$6="Sí",1,0),1),IF(OR($A115="",$D115="",$E115=""),0,_xlpm.dias*$I115*_xlpm.factor))</f>
        <v/>
      </c>
      <c r="K115" s="33">
        <f>_xlfn.LET(_xlpm.inicio,MAX($D115,K$3),_xlpm.fin,MIN($E115,K$4),_xlpm.feriados,IF($H115="CO",FER_CO,FER_EC),_xlpm.dias,IF(_xlpm.inicio&gt;_xlpm.fin,0,NETWORKDAYS(_xlpm.inicio,_xlpm.fin,_xlpm.feriados)),_xlpm.factor,IF($G115="Probable",IF(Parametros!$B$6="Sí",1,0),1),IF(OR($A115="",$D115="",$E115=""),0,_xlpm.dias*$I115*_xlpm.factor))</f>
        <v/>
      </c>
      <c r="L115" s="33">
        <f>_xlfn.LET(_xlpm.inicio,MAX($D115,L$3),_xlpm.fin,MIN($E115,L$4),_xlpm.feriados,IF($H115="CO",FER_CO,FER_EC),_xlpm.dias,IF(_xlpm.inicio&gt;_xlpm.fin,0,NETWORKDAYS(_xlpm.inicio,_xlpm.fin,_xlpm.feriados)),_xlpm.factor,IF($G115="Probable",IF(Parametros!$B$6="Sí",1,0),1),IF(OR($A115="",$D115="",$E115=""),0,_xlpm.dias*$I115*_xlpm.factor))</f>
        <v/>
      </c>
      <c r="M115" s="33">
        <f>_xlfn.LET(_xlpm.inicio,MAX($D115,M$3),_xlpm.fin,MIN($E115,M$4),_xlpm.feriados,IF($H115="CO",FER_CO,FER_EC),_xlpm.dias,IF(_xlpm.inicio&gt;_xlpm.fin,0,NETWORKDAYS(_xlpm.inicio,_xlpm.fin,_xlpm.feriados)),_xlpm.factor,IF($G115="Probable",IF(Parametros!$B$6="Sí",1,0),1),IF(OR($A115="",$D115="",$E115=""),0,_xlpm.dias*$I115*_xlpm.factor))</f>
        <v/>
      </c>
      <c r="N115" s="33">
        <f>_xlfn.LET(_xlpm.inicio,MAX($D115,N$3),_xlpm.fin,MIN($E115,N$4),_xlpm.feriados,IF($H115="CO",FER_CO,FER_EC),_xlpm.dias,IF(_xlpm.inicio&gt;_xlpm.fin,0,NETWORKDAYS(_xlpm.inicio,_xlpm.fin,_xlpm.feriados)),_xlpm.factor,IF($G115="Probable",IF(Parametros!$B$6="Sí",1,0),1),IF(OR($A115="",$D115="",$E115=""),0,_xlpm.dias*$I115*_xlpm.factor))</f>
        <v/>
      </c>
      <c r="O115" s="33">
        <f>_xlfn.LET(_xlpm.inicio,MAX($D115,O$3),_xlpm.fin,MIN($E115,O$4),_xlpm.feriados,IF($H115="CO",FER_CO,FER_EC),_xlpm.dias,IF(_xlpm.inicio&gt;_xlpm.fin,0,NETWORKDAYS(_xlpm.inicio,_xlpm.fin,_xlpm.feriados)),_xlpm.factor,IF($G115="Probable",IF(Parametros!$B$6="Sí",1,0),1),IF(OR($A115="",$D115="",$E115=""),0,_xlpm.dias*$I115*_xlpm.factor))</f>
        <v/>
      </c>
      <c r="P115" s="34">
        <f>_xlfn.LET(_xlpm.horas,J115,_xlpm.feriados,IF($H115="CO",FER_CO,FER_EC),_xlpm.capacidad,NETWORKDAYS(J$3,J$4,_xlpm.feriados)*INDEX(Consultores!$C$6:$C$65,MATCH($A115,Consultores!$A$6:$A$65,0)),IF(_xlpm.horas=0,"",IFERROR(_xlpm.horas/_xlpm.capacidad,"")))</f>
        <v/>
      </c>
      <c r="Q115" s="34">
        <f>_xlfn.LET(_xlpm.horas,K115,_xlpm.feriados,IF($H115="CO",FER_CO,FER_EC),_xlpm.capacidad,NETWORKDAYS(K$3,K$4,_xlpm.feriados)*INDEX(Consultores!$C$6:$C$65,MATCH($A115,Consultores!$A$6:$A$65,0)),IF(_xlpm.horas=0,"",IFERROR(_xlpm.horas/_xlpm.capacidad,"")))</f>
        <v/>
      </c>
      <c r="R115" s="34">
        <f>_xlfn.LET(_xlpm.horas,L115,_xlpm.feriados,IF($H115="CO",FER_CO,FER_EC),_xlpm.capacidad,NETWORKDAYS(L$3,L$4,_xlpm.feriados)*INDEX(Consultores!$C$6:$C$65,MATCH($A115,Consultores!$A$6:$A$65,0)),IF(_xlpm.horas=0,"",IFERROR(_xlpm.horas/_xlpm.capacidad,"")))</f>
        <v/>
      </c>
      <c r="S115" s="34">
        <f>_xlfn.LET(_xlpm.horas,M115,_xlpm.feriados,IF($H115="CO",FER_CO,FER_EC),_xlpm.capacidad,NETWORKDAYS(M$3,M$4,_xlpm.feriados)*INDEX(Consultores!$C$6:$C$65,MATCH($A115,Consultores!$A$6:$A$65,0)),IF(_xlpm.horas=0,"",IFERROR(_xlpm.horas/_xlpm.capacidad,"")))</f>
        <v/>
      </c>
      <c r="T115" s="34">
        <f>_xlfn.LET(_xlpm.horas,N115,_xlpm.feriados,IF($H115="CO",FER_CO,FER_EC),_xlpm.capacidad,NETWORKDAYS(N$3,N$4,_xlpm.feriados)*INDEX(Consultores!$C$6:$C$65,MATCH($A115,Consultores!$A$6:$A$65,0)),IF(_xlpm.horas=0,"",IFERROR(_xlpm.horas/_xlpm.capacidad,"")))</f>
        <v/>
      </c>
      <c r="U115" s="34">
        <f>_xlfn.LET(_xlpm.horas,O115,_xlpm.feriados,IF($H115="CO",FER_CO,FER_EC),_xlpm.capacidad,NETWORKDAYS(O$3,O$4,_xlpm.feriados)*INDEX(Consultores!$C$6:$C$65,MATCH($A115,Consultores!$A$6:$A$65,0)),IF(_xlpm.horas=0,"",IFERROR(_xlpm.horas/_xlpm.capacidad,"")))</f>
        <v/>
      </c>
    </row>
    <row r="116">
      <c r="A116" s="25" t="n"/>
      <c r="B116" s="25" t="n"/>
      <c r="C116" s="25" t="n"/>
      <c r="D116" s="30" t="n"/>
      <c r="E116" s="30" t="n"/>
      <c r="F116" s="26" t="n"/>
      <c r="G116" s="25" t="n"/>
      <c r="H116" s="31">
        <f>IF($A116="","",IFERROR(INDEX(Consultores!$B$6:$B$65,MATCH($A116,Consultores!$A$6:$A$65,0)),"No existe"))</f>
        <v/>
      </c>
      <c r="I116" s="32">
        <f>IF($F116="",0,$F116/5)</f>
        <v/>
      </c>
      <c r="J116" s="33">
        <f>_xlfn.LET(_xlpm.inicio,MAX($D116,J$3),_xlpm.fin,MIN($E116,J$4),_xlpm.feriados,IF($H116="CO",FER_CO,FER_EC),_xlpm.dias,IF(_xlpm.inicio&gt;_xlpm.fin,0,NETWORKDAYS(_xlpm.inicio,_xlpm.fin,_xlpm.feriados)),_xlpm.factor,IF($G116="Probable",IF(Parametros!$B$6="Sí",1,0),1),IF(OR($A116="",$D116="",$E116=""),0,_xlpm.dias*$I116*_xlpm.factor))</f>
        <v/>
      </c>
      <c r="K116" s="33">
        <f>_xlfn.LET(_xlpm.inicio,MAX($D116,K$3),_xlpm.fin,MIN($E116,K$4),_xlpm.feriados,IF($H116="CO",FER_CO,FER_EC),_xlpm.dias,IF(_xlpm.inicio&gt;_xlpm.fin,0,NETWORKDAYS(_xlpm.inicio,_xlpm.fin,_xlpm.feriados)),_xlpm.factor,IF($G116="Probable",IF(Parametros!$B$6="Sí",1,0),1),IF(OR($A116="",$D116="",$E116=""),0,_xlpm.dias*$I116*_xlpm.factor))</f>
        <v/>
      </c>
      <c r="L116" s="33">
        <f>_xlfn.LET(_xlpm.inicio,MAX($D116,L$3),_xlpm.fin,MIN($E116,L$4),_xlpm.feriados,IF($H116="CO",FER_CO,FER_EC),_xlpm.dias,IF(_xlpm.inicio&gt;_xlpm.fin,0,NETWORKDAYS(_xlpm.inicio,_xlpm.fin,_xlpm.feriados)),_xlpm.factor,IF($G116="Probable",IF(Parametros!$B$6="Sí",1,0),1),IF(OR($A116="",$D116="",$E116=""),0,_xlpm.dias*$I116*_xlpm.factor))</f>
        <v/>
      </c>
      <c r="M116" s="33">
        <f>_xlfn.LET(_xlpm.inicio,MAX($D116,M$3),_xlpm.fin,MIN($E116,M$4),_xlpm.feriados,IF($H116="CO",FER_CO,FER_EC),_xlpm.dias,IF(_xlpm.inicio&gt;_xlpm.fin,0,NETWORKDAYS(_xlpm.inicio,_xlpm.fin,_xlpm.feriados)),_xlpm.factor,IF($G116="Probable",IF(Parametros!$B$6="Sí",1,0),1),IF(OR($A116="",$D116="",$E116=""),0,_xlpm.dias*$I116*_xlpm.factor))</f>
        <v/>
      </c>
      <c r="N116" s="33">
        <f>_xlfn.LET(_xlpm.inicio,MAX($D116,N$3),_xlpm.fin,MIN($E116,N$4),_xlpm.feriados,IF($H116="CO",FER_CO,FER_EC),_xlpm.dias,IF(_xlpm.inicio&gt;_xlpm.fin,0,NETWORKDAYS(_xlpm.inicio,_xlpm.fin,_xlpm.feriados)),_xlpm.factor,IF($G116="Probable",IF(Parametros!$B$6="Sí",1,0),1),IF(OR($A116="",$D116="",$E116=""),0,_xlpm.dias*$I116*_xlpm.factor))</f>
        <v/>
      </c>
      <c r="O116" s="33">
        <f>_xlfn.LET(_xlpm.inicio,MAX($D116,O$3),_xlpm.fin,MIN($E116,O$4),_xlpm.feriados,IF($H116="CO",FER_CO,FER_EC),_xlpm.dias,IF(_xlpm.inicio&gt;_xlpm.fin,0,NETWORKDAYS(_xlpm.inicio,_xlpm.fin,_xlpm.feriados)),_xlpm.factor,IF($G116="Probable",IF(Parametros!$B$6="Sí",1,0),1),IF(OR($A116="",$D116="",$E116=""),0,_xlpm.dias*$I116*_xlpm.factor))</f>
        <v/>
      </c>
      <c r="P116" s="34">
        <f>_xlfn.LET(_xlpm.horas,J116,_xlpm.feriados,IF($H116="CO",FER_CO,FER_EC),_xlpm.capacidad,NETWORKDAYS(J$3,J$4,_xlpm.feriados)*INDEX(Consultores!$C$6:$C$65,MATCH($A116,Consultores!$A$6:$A$65,0)),IF(_xlpm.horas=0,"",IFERROR(_xlpm.horas/_xlpm.capacidad,"")))</f>
        <v/>
      </c>
      <c r="Q116" s="34">
        <f>_xlfn.LET(_xlpm.horas,K116,_xlpm.feriados,IF($H116="CO",FER_CO,FER_EC),_xlpm.capacidad,NETWORKDAYS(K$3,K$4,_xlpm.feriados)*INDEX(Consultores!$C$6:$C$65,MATCH($A116,Consultores!$A$6:$A$65,0)),IF(_xlpm.horas=0,"",IFERROR(_xlpm.horas/_xlpm.capacidad,"")))</f>
        <v/>
      </c>
      <c r="R116" s="34">
        <f>_xlfn.LET(_xlpm.horas,L116,_xlpm.feriados,IF($H116="CO",FER_CO,FER_EC),_xlpm.capacidad,NETWORKDAYS(L$3,L$4,_xlpm.feriados)*INDEX(Consultores!$C$6:$C$65,MATCH($A116,Consultores!$A$6:$A$65,0)),IF(_xlpm.horas=0,"",IFERROR(_xlpm.horas/_xlpm.capacidad,"")))</f>
        <v/>
      </c>
      <c r="S116" s="34">
        <f>_xlfn.LET(_xlpm.horas,M116,_xlpm.feriados,IF($H116="CO",FER_CO,FER_EC),_xlpm.capacidad,NETWORKDAYS(M$3,M$4,_xlpm.feriados)*INDEX(Consultores!$C$6:$C$65,MATCH($A116,Consultores!$A$6:$A$65,0)),IF(_xlpm.horas=0,"",IFERROR(_xlpm.horas/_xlpm.capacidad,"")))</f>
        <v/>
      </c>
      <c r="T116" s="34">
        <f>_xlfn.LET(_xlpm.horas,N116,_xlpm.feriados,IF($H116="CO",FER_CO,FER_EC),_xlpm.capacidad,NETWORKDAYS(N$3,N$4,_xlpm.feriados)*INDEX(Consultores!$C$6:$C$65,MATCH($A116,Consultores!$A$6:$A$65,0)),IF(_xlpm.horas=0,"",IFERROR(_xlpm.horas/_xlpm.capacidad,"")))</f>
        <v/>
      </c>
      <c r="U116" s="34">
        <f>_xlfn.LET(_xlpm.horas,O116,_xlpm.feriados,IF($H116="CO",FER_CO,FER_EC),_xlpm.capacidad,NETWORKDAYS(O$3,O$4,_xlpm.feriados)*INDEX(Consultores!$C$6:$C$65,MATCH($A116,Consultores!$A$6:$A$65,0)),IF(_xlpm.horas=0,"",IFERROR(_xlpm.horas/_xlpm.capacidad,"")))</f>
        <v/>
      </c>
    </row>
    <row r="117">
      <c r="A117" s="25" t="n"/>
      <c r="B117" s="25" t="n"/>
      <c r="C117" s="25" t="n"/>
      <c r="D117" s="30" t="n"/>
      <c r="E117" s="30" t="n"/>
      <c r="F117" s="26" t="n"/>
      <c r="G117" s="25" t="n"/>
      <c r="H117" s="31">
        <f>IF($A117="","",IFERROR(INDEX(Consultores!$B$6:$B$65,MATCH($A117,Consultores!$A$6:$A$65,0)),"No existe"))</f>
        <v/>
      </c>
      <c r="I117" s="32">
        <f>IF($F117="",0,$F117/5)</f>
        <v/>
      </c>
      <c r="J117" s="33">
        <f>_xlfn.LET(_xlpm.inicio,MAX($D117,J$3),_xlpm.fin,MIN($E117,J$4),_xlpm.feriados,IF($H117="CO",FER_CO,FER_EC),_xlpm.dias,IF(_xlpm.inicio&gt;_xlpm.fin,0,NETWORKDAYS(_xlpm.inicio,_xlpm.fin,_xlpm.feriados)),_xlpm.factor,IF($G117="Probable",IF(Parametros!$B$6="Sí",1,0),1),IF(OR($A117="",$D117="",$E117=""),0,_xlpm.dias*$I117*_xlpm.factor))</f>
        <v/>
      </c>
      <c r="K117" s="33">
        <f>_xlfn.LET(_xlpm.inicio,MAX($D117,K$3),_xlpm.fin,MIN($E117,K$4),_xlpm.feriados,IF($H117="CO",FER_CO,FER_EC),_xlpm.dias,IF(_xlpm.inicio&gt;_xlpm.fin,0,NETWORKDAYS(_xlpm.inicio,_xlpm.fin,_xlpm.feriados)),_xlpm.factor,IF($G117="Probable",IF(Parametros!$B$6="Sí",1,0),1),IF(OR($A117="",$D117="",$E117=""),0,_xlpm.dias*$I117*_xlpm.factor))</f>
        <v/>
      </c>
      <c r="L117" s="33">
        <f>_xlfn.LET(_xlpm.inicio,MAX($D117,L$3),_xlpm.fin,MIN($E117,L$4),_xlpm.feriados,IF($H117="CO",FER_CO,FER_EC),_xlpm.dias,IF(_xlpm.inicio&gt;_xlpm.fin,0,NETWORKDAYS(_xlpm.inicio,_xlpm.fin,_xlpm.feriados)),_xlpm.factor,IF($G117="Probable",IF(Parametros!$B$6="Sí",1,0),1),IF(OR($A117="",$D117="",$E117=""),0,_xlpm.dias*$I117*_xlpm.factor))</f>
        <v/>
      </c>
      <c r="M117" s="33">
        <f>_xlfn.LET(_xlpm.inicio,MAX($D117,M$3),_xlpm.fin,MIN($E117,M$4),_xlpm.feriados,IF($H117="CO",FER_CO,FER_EC),_xlpm.dias,IF(_xlpm.inicio&gt;_xlpm.fin,0,NETWORKDAYS(_xlpm.inicio,_xlpm.fin,_xlpm.feriados)),_xlpm.factor,IF($G117="Probable",IF(Parametros!$B$6="Sí",1,0),1),IF(OR($A117="",$D117="",$E117=""),0,_xlpm.dias*$I117*_xlpm.factor))</f>
        <v/>
      </c>
      <c r="N117" s="33">
        <f>_xlfn.LET(_xlpm.inicio,MAX($D117,N$3),_xlpm.fin,MIN($E117,N$4),_xlpm.feriados,IF($H117="CO",FER_CO,FER_EC),_xlpm.dias,IF(_xlpm.inicio&gt;_xlpm.fin,0,NETWORKDAYS(_xlpm.inicio,_xlpm.fin,_xlpm.feriados)),_xlpm.factor,IF($G117="Probable",IF(Parametros!$B$6="Sí",1,0),1),IF(OR($A117="",$D117="",$E117=""),0,_xlpm.dias*$I117*_xlpm.factor))</f>
        <v/>
      </c>
      <c r="O117" s="33">
        <f>_xlfn.LET(_xlpm.inicio,MAX($D117,O$3),_xlpm.fin,MIN($E117,O$4),_xlpm.feriados,IF($H117="CO",FER_CO,FER_EC),_xlpm.dias,IF(_xlpm.inicio&gt;_xlpm.fin,0,NETWORKDAYS(_xlpm.inicio,_xlpm.fin,_xlpm.feriados)),_xlpm.factor,IF($G117="Probable",IF(Parametros!$B$6="Sí",1,0),1),IF(OR($A117="",$D117="",$E117=""),0,_xlpm.dias*$I117*_xlpm.factor))</f>
        <v/>
      </c>
      <c r="P117" s="34">
        <f>_xlfn.LET(_xlpm.horas,J117,_xlpm.feriados,IF($H117="CO",FER_CO,FER_EC),_xlpm.capacidad,NETWORKDAYS(J$3,J$4,_xlpm.feriados)*INDEX(Consultores!$C$6:$C$65,MATCH($A117,Consultores!$A$6:$A$65,0)),IF(_xlpm.horas=0,"",IFERROR(_xlpm.horas/_xlpm.capacidad,"")))</f>
        <v/>
      </c>
      <c r="Q117" s="34">
        <f>_xlfn.LET(_xlpm.horas,K117,_xlpm.feriados,IF($H117="CO",FER_CO,FER_EC),_xlpm.capacidad,NETWORKDAYS(K$3,K$4,_xlpm.feriados)*INDEX(Consultores!$C$6:$C$65,MATCH($A117,Consultores!$A$6:$A$65,0)),IF(_xlpm.horas=0,"",IFERROR(_xlpm.horas/_xlpm.capacidad,"")))</f>
        <v/>
      </c>
      <c r="R117" s="34">
        <f>_xlfn.LET(_xlpm.horas,L117,_xlpm.feriados,IF($H117="CO",FER_CO,FER_EC),_xlpm.capacidad,NETWORKDAYS(L$3,L$4,_xlpm.feriados)*INDEX(Consultores!$C$6:$C$65,MATCH($A117,Consultores!$A$6:$A$65,0)),IF(_xlpm.horas=0,"",IFERROR(_xlpm.horas/_xlpm.capacidad,"")))</f>
        <v/>
      </c>
      <c r="S117" s="34">
        <f>_xlfn.LET(_xlpm.horas,M117,_xlpm.feriados,IF($H117="CO",FER_CO,FER_EC),_xlpm.capacidad,NETWORKDAYS(M$3,M$4,_xlpm.feriados)*INDEX(Consultores!$C$6:$C$65,MATCH($A117,Consultores!$A$6:$A$65,0)),IF(_xlpm.horas=0,"",IFERROR(_xlpm.horas/_xlpm.capacidad,"")))</f>
        <v/>
      </c>
      <c r="T117" s="34">
        <f>_xlfn.LET(_xlpm.horas,N117,_xlpm.feriados,IF($H117="CO",FER_CO,FER_EC),_xlpm.capacidad,NETWORKDAYS(N$3,N$4,_xlpm.feriados)*INDEX(Consultores!$C$6:$C$65,MATCH($A117,Consultores!$A$6:$A$65,0)),IF(_xlpm.horas=0,"",IFERROR(_xlpm.horas/_xlpm.capacidad,"")))</f>
        <v/>
      </c>
      <c r="U117" s="34">
        <f>_xlfn.LET(_xlpm.horas,O117,_xlpm.feriados,IF($H117="CO",FER_CO,FER_EC),_xlpm.capacidad,NETWORKDAYS(O$3,O$4,_xlpm.feriados)*INDEX(Consultores!$C$6:$C$65,MATCH($A117,Consultores!$A$6:$A$65,0)),IF(_xlpm.horas=0,"",IFERROR(_xlpm.horas/_xlpm.capacidad,"")))</f>
        <v/>
      </c>
    </row>
    <row r="118">
      <c r="A118" s="25" t="n"/>
      <c r="B118" s="25" t="n"/>
      <c r="C118" s="25" t="n"/>
      <c r="D118" s="30" t="n"/>
      <c r="E118" s="30" t="n"/>
      <c r="F118" s="26" t="n"/>
      <c r="G118" s="25" t="n"/>
      <c r="H118" s="31">
        <f>IF($A118="","",IFERROR(INDEX(Consultores!$B$6:$B$65,MATCH($A118,Consultores!$A$6:$A$65,0)),"No existe"))</f>
        <v/>
      </c>
      <c r="I118" s="32">
        <f>IF($F118="",0,$F118/5)</f>
        <v/>
      </c>
      <c r="J118" s="33">
        <f>_xlfn.LET(_xlpm.inicio,MAX($D118,J$3),_xlpm.fin,MIN($E118,J$4),_xlpm.feriados,IF($H118="CO",FER_CO,FER_EC),_xlpm.dias,IF(_xlpm.inicio&gt;_xlpm.fin,0,NETWORKDAYS(_xlpm.inicio,_xlpm.fin,_xlpm.feriados)),_xlpm.factor,IF($G118="Probable",IF(Parametros!$B$6="Sí",1,0),1),IF(OR($A118="",$D118="",$E118=""),0,_xlpm.dias*$I118*_xlpm.factor))</f>
        <v/>
      </c>
      <c r="K118" s="33">
        <f>_xlfn.LET(_xlpm.inicio,MAX($D118,K$3),_xlpm.fin,MIN($E118,K$4),_xlpm.feriados,IF($H118="CO",FER_CO,FER_EC),_xlpm.dias,IF(_xlpm.inicio&gt;_xlpm.fin,0,NETWORKDAYS(_xlpm.inicio,_xlpm.fin,_xlpm.feriados)),_xlpm.factor,IF($G118="Probable",IF(Parametros!$B$6="Sí",1,0),1),IF(OR($A118="",$D118="",$E118=""),0,_xlpm.dias*$I118*_xlpm.factor))</f>
        <v/>
      </c>
      <c r="L118" s="33">
        <f>_xlfn.LET(_xlpm.inicio,MAX($D118,L$3),_xlpm.fin,MIN($E118,L$4),_xlpm.feriados,IF($H118="CO",FER_CO,FER_EC),_xlpm.dias,IF(_xlpm.inicio&gt;_xlpm.fin,0,NETWORKDAYS(_xlpm.inicio,_xlpm.fin,_xlpm.feriados)),_xlpm.factor,IF($G118="Probable",IF(Parametros!$B$6="Sí",1,0),1),IF(OR($A118="",$D118="",$E118=""),0,_xlpm.dias*$I118*_xlpm.factor))</f>
        <v/>
      </c>
      <c r="M118" s="33">
        <f>_xlfn.LET(_xlpm.inicio,MAX($D118,M$3),_xlpm.fin,MIN($E118,M$4),_xlpm.feriados,IF($H118="CO",FER_CO,FER_EC),_xlpm.dias,IF(_xlpm.inicio&gt;_xlpm.fin,0,NETWORKDAYS(_xlpm.inicio,_xlpm.fin,_xlpm.feriados)),_xlpm.factor,IF($G118="Probable",IF(Parametros!$B$6="Sí",1,0),1),IF(OR($A118="",$D118="",$E118=""),0,_xlpm.dias*$I118*_xlpm.factor))</f>
        <v/>
      </c>
      <c r="N118" s="33">
        <f>_xlfn.LET(_xlpm.inicio,MAX($D118,N$3),_xlpm.fin,MIN($E118,N$4),_xlpm.feriados,IF($H118="CO",FER_CO,FER_EC),_xlpm.dias,IF(_xlpm.inicio&gt;_xlpm.fin,0,NETWORKDAYS(_xlpm.inicio,_xlpm.fin,_xlpm.feriados)),_xlpm.factor,IF($G118="Probable",IF(Parametros!$B$6="Sí",1,0),1),IF(OR($A118="",$D118="",$E118=""),0,_xlpm.dias*$I118*_xlpm.factor))</f>
        <v/>
      </c>
      <c r="O118" s="33">
        <f>_xlfn.LET(_xlpm.inicio,MAX($D118,O$3),_xlpm.fin,MIN($E118,O$4),_xlpm.feriados,IF($H118="CO",FER_CO,FER_EC),_xlpm.dias,IF(_xlpm.inicio&gt;_xlpm.fin,0,NETWORKDAYS(_xlpm.inicio,_xlpm.fin,_xlpm.feriados)),_xlpm.factor,IF($G118="Probable",IF(Parametros!$B$6="Sí",1,0),1),IF(OR($A118="",$D118="",$E118=""),0,_xlpm.dias*$I118*_xlpm.factor))</f>
        <v/>
      </c>
      <c r="P118" s="34">
        <f>_xlfn.LET(_xlpm.horas,J118,_xlpm.feriados,IF($H118="CO",FER_CO,FER_EC),_xlpm.capacidad,NETWORKDAYS(J$3,J$4,_xlpm.feriados)*INDEX(Consultores!$C$6:$C$65,MATCH($A118,Consultores!$A$6:$A$65,0)),IF(_xlpm.horas=0,"",IFERROR(_xlpm.horas/_xlpm.capacidad,"")))</f>
        <v/>
      </c>
      <c r="Q118" s="34">
        <f>_xlfn.LET(_xlpm.horas,K118,_xlpm.feriados,IF($H118="CO",FER_CO,FER_EC),_xlpm.capacidad,NETWORKDAYS(K$3,K$4,_xlpm.feriados)*INDEX(Consultores!$C$6:$C$65,MATCH($A118,Consultores!$A$6:$A$65,0)),IF(_xlpm.horas=0,"",IFERROR(_xlpm.horas/_xlpm.capacidad,"")))</f>
        <v/>
      </c>
      <c r="R118" s="34">
        <f>_xlfn.LET(_xlpm.horas,L118,_xlpm.feriados,IF($H118="CO",FER_CO,FER_EC),_xlpm.capacidad,NETWORKDAYS(L$3,L$4,_xlpm.feriados)*INDEX(Consultores!$C$6:$C$65,MATCH($A118,Consultores!$A$6:$A$65,0)),IF(_xlpm.horas=0,"",IFERROR(_xlpm.horas/_xlpm.capacidad,"")))</f>
        <v/>
      </c>
      <c r="S118" s="34">
        <f>_xlfn.LET(_xlpm.horas,M118,_xlpm.feriados,IF($H118="CO",FER_CO,FER_EC),_xlpm.capacidad,NETWORKDAYS(M$3,M$4,_xlpm.feriados)*INDEX(Consultores!$C$6:$C$65,MATCH($A118,Consultores!$A$6:$A$65,0)),IF(_xlpm.horas=0,"",IFERROR(_xlpm.horas/_xlpm.capacidad,"")))</f>
        <v/>
      </c>
      <c r="T118" s="34">
        <f>_xlfn.LET(_xlpm.horas,N118,_xlpm.feriados,IF($H118="CO",FER_CO,FER_EC),_xlpm.capacidad,NETWORKDAYS(N$3,N$4,_xlpm.feriados)*INDEX(Consultores!$C$6:$C$65,MATCH($A118,Consultores!$A$6:$A$65,0)),IF(_xlpm.horas=0,"",IFERROR(_xlpm.horas/_xlpm.capacidad,"")))</f>
        <v/>
      </c>
      <c r="U118" s="34">
        <f>_xlfn.LET(_xlpm.horas,O118,_xlpm.feriados,IF($H118="CO",FER_CO,FER_EC),_xlpm.capacidad,NETWORKDAYS(O$3,O$4,_xlpm.feriados)*INDEX(Consultores!$C$6:$C$65,MATCH($A118,Consultores!$A$6:$A$65,0)),IF(_xlpm.horas=0,"",IFERROR(_xlpm.horas/_xlpm.capacidad,"")))</f>
        <v/>
      </c>
    </row>
    <row r="119">
      <c r="A119" s="25" t="n"/>
      <c r="B119" s="25" t="n"/>
      <c r="C119" s="25" t="n"/>
      <c r="D119" s="30" t="n"/>
      <c r="E119" s="30" t="n"/>
      <c r="F119" s="26" t="n"/>
      <c r="G119" s="25" t="n"/>
      <c r="H119" s="31">
        <f>IF($A119="","",IFERROR(INDEX(Consultores!$B$6:$B$65,MATCH($A119,Consultores!$A$6:$A$65,0)),"No existe"))</f>
        <v/>
      </c>
      <c r="I119" s="32">
        <f>IF($F119="",0,$F119/5)</f>
        <v/>
      </c>
      <c r="J119" s="33">
        <f>_xlfn.LET(_xlpm.inicio,MAX($D119,J$3),_xlpm.fin,MIN($E119,J$4),_xlpm.feriados,IF($H119="CO",FER_CO,FER_EC),_xlpm.dias,IF(_xlpm.inicio&gt;_xlpm.fin,0,NETWORKDAYS(_xlpm.inicio,_xlpm.fin,_xlpm.feriados)),_xlpm.factor,IF($G119="Probable",IF(Parametros!$B$6="Sí",1,0),1),IF(OR($A119="",$D119="",$E119=""),0,_xlpm.dias*$I119*_xlpm.factor))</f>
        <v/>
      </c>
      <c r="K119" s="33">
        <f>_xlfn.LET(_xlpm.inicio,MAX($D119,K$3),_xlpm.fin,MIN($E119,K$4),_xlpm.feriados,IF($H119="CO",FER_CO,FER_EC),_xlpm.dias,IF(_xlpm.inicio&gt;_xlpm.fin,0,NETWORKDAYS(_xlpm.inicio,_xlpm.fin,_xlpm.feriados)),_xlpm.factor,IF($G119="Probable",IF(Parametros!$B$6="Sí",1,0),1),IF(OR($A119="",$D119="",$E119=""),0,_xlpm.dias*$I119*_xlpm.factor))</f>
        <v/>
      </c>
      <c r="L119" s="33">
        <f>_xlfn.LET(_xlpm.inicio,MAX($D119,L$3),_xlpm.fin,MIN($E119,L$4),_xlpm.feriados,IF($H119="CO",FER_CO,FER_EC),_xlpm.dias,IF(_xlpm.inicio&gt;_xlpm.fin,0,NETWORKDAYS(_xlpm.inicio,_xlpm.fin,_xlpm.feriados)),_xlpm.factor,IF($G119="Probable",IF(Parametros!$B$6="Sí",1,0),1),IF(OR($A119="",$D119="",$E119=""),0,_xlpm.dias*$I119*_xlpm.factor))</f>
        <v/>
      </c>
      <c r="M119" s="33">
        <f>_xlfn.LET(_xlpm.inicio,MAX($D119,M$3),_xlpm.fin,MIN($E119,M$4),_xlpm.feriados,IF($H119="CO",FER_CO,FER_EC),_xlpm.dias,IF(_xlpm.inicio&gt;_xlpm.fin,0,NETWORKDAYS(_xlpm.inicio,_xlpm.fin,_xlpm.feriados)),_xlpm.factor,IF($G119="Probable",IF(Parametros!$B$6="Sí",1,0),1),IF(OR($A119="",$D119="",$E119=""),0,_xlpm.dias*$I119*_xlpm.factor))</f>
        <v/>
      </c>
      <c r="N119" s="33">
        <f>_xlfn.LET(_xlpm.inicio,MAX($D119,N$3),_xlpm.fin,MIN($E119,N$4),_xlpm.feriados,IF($H119="CO",FER_CO,FER_EC),_xlpm.dias,IF(_xlpm.inicio&gt;_xlpm.fin,0,NETWORKDAYS(_xlpm.inicio,_xlpm.fin,_xlpm.feriados)),_xlpm.factor,IF($G119="Probable",IF(Parametros!$B$6="Sí",1,0),1),IF(OR($A119="",$D119="",$E119=""),0,_xlpm.dias*$I119*_xlpm.factor))</f>
        <v/>
      </c>
      <c r="O119" s="33">
        <f>_xlfn.LET(_xlpm.inicio,MAX($D119,O$3),_xlpm.fin,MIN($E119,O$4),_xlpm.feriados,IF($H119="CO",FER_CO,FER_EC),_xlpm.dias,IF(_xlpm.inicio&gt;_xlpm.fin,0,NETWORKDAYS(_xlpm.inicio,_xlpm.fin,_xlpm.feriados)),_xlpm.factor,IF($G119="Probable",IF(Parametros!$B$6="Sí",1,0),1),IF(OR($A119="",$D119="",$E119=""),0,_xlpm.dias*$I119*_xlpm.factor))</f>
        <v/>
      </c>
      <c r="P119" s="34">
        <f>_xlfn.LET(_xlpm.horas,J119,_xlpm.feriados,IF($H119="CO",FER_CO,FER_EC),_xlpm.capacidad,NETWORKDAYS(J$3,J$4,_xlpm.feriados)*INDEX(Consultores!$C$6:$C$65,MATCH($A119,Consultores!$A$6:$A$65,0)),IF(_xlpm.horas=0,"",IFERROR(_xlpm.horas/_xlpm.capacidad,"")))</f>
        <v/>
      </c>
      <c r="Q119" s="34">
        <f>_xlfn.LET(_xlpm.horas,K119,_xlpm.feriados,IF($H119="CO",FER_CO,FER_EC),_xlpm.capacidad,NETWORKDAYS(K$3,K$4,_xlpm.feriados)*INDEX(Consultores!$C$6:$C$65,MATCH($A119,Consultores!$A$6:$A$65,0)),IF(_xlpm.horas=0,"",IFERROR(_xlpm.horas/_xlpm.capacidad,"")))</f>
        <v/>
      </c>
      <c r="R119" s="34">
        <f>_xlfn.LET(_xlpm.horas,L119,_xlpm.feriados,IF($H119="CO",FER_CO,FER_EC),_xlpm.capacidad,NETWORKDAYS(L$3,L$4,_xlpm.feriados)*INDEX(Consultores!$C$6:$C$65,MATCH($A119,Consultores!$A$6:$A$65,0)),IF(_xlpm.horas=0,"",IFERROR(_xlpm.horas/_xlpm.capacidad,"")))</f>
        <v/>
      </c>
      <c r="S119" s="34">
        <f>_xlfn.LET(_xlpm.horas,M119,_xlpm.feriados,IF($H119="CO",FER_CO,FER_EC),_xlpm.capacidad,NETWORKDAYS(M$3,M$4,_xlpm.feriados)*INDEX(Consultores!$C$6:$C$65,MATCH($A119,Consultores!$A$6:$A$65,0)),IF(_xlpm.horas=0,"",IFERROR(_xlpm.horas/_xlpm.capacidad,"")))</f>
        <v/>
      </c>
      <c r="T119" s="34">
        <f>_xlfn.LET(_xlpm.horas,N119,_xlpm.feriados,IF($H119="CO",FER_CO,FER_EC),_xlpm.capacidad,NETWORKDAYS(N$3,N$4,_xlpm.feriados)*INDEX(Consultores!$C$6:$C$65,MATCH($A119,Consultores!$A$6:$A$65,0)),IF(_xlpm.horas=0,"",IFERROR(_xlpm.horas/_xlpm.capacidad,"")))</f>
        <v/>
      </c>
      <c r="U119" s="34">
        <f>_xlfn.LET(_xlpm.horas,O119,_xlpm.feriados,IF($H119="CO",FER_CO,FER_EC),_xlpm.capacidad,NETWORKDAYS(O$3,O$4,_xlpm.feriados)*INDEX(Consultores!$C$6:$C$65,MATCH($A119,Consultores!$A$6:$A$65,0)),IF(_xlpm.horas=0,"",IFERROR(_xlpm.horas/_xlpm.capacidad,"")))</f>
        <v/>
      </c>
    </row>
    <row r="120">
      <c r="A120" s="25" t="n"/>
      <c r="B120" s="25" t="n"/>
      <c r="C120" s="25" t="n"/>
      <c r="D120" s="30" t="n"/>
      <c r="E120" s="30" t="n"/>
      <c r="F120" s="26" t="n"/>
      <c r="G120" s="25" t="n"/>
      <c r="H120" s="31">
        <f>IF($A120="","",IFERROR(INDEX(Consultores!$B$6:$B$65,MATCH($A120,Consultores!$A$6:$A$65,0)),"No existe"))</f>
        <v/>
      </c>
      <c r="I120" s="32">
        <f>IF($F120="",0,$F120/5)</f>
        <v/>
      </c>
      <c r="J120" s="33">
        <f>_xlfn.LET(_xlpm.inicio,MAX($D120,J$3),_xlpm.fin,MIN($E120,J$4),_xlpm.feriados,IF($H120="CO",FER_CO,FER_EC),_xlpm.dias,IF(_xlpm.inicio&gt;_xlpm.fin,0,NETWORKDAYS(_xlpm.inicio,_xlpm.fin,_xlpm.feriados)),_xlpm.factor,IF($G120="Probable",IF(Parametros!$B$6="Sí",1,0),1),IF(OR($A120="",$D120="",$E120=""),0,_xlpm.dias*$I120*_xlpm.factor))</f>
        <v/>
      </c>
      <c r="K120" s="33">
        <f>_xlfn.LET(_xlpm.inicio,MAX($D120,K$3),_xlpm.fin,MIN($E120,K$4),_xlpm.feriados,IF($H120="CO",FER_CO,FER_EC),_xlpm.dias,IF(_xlpm.inicio&gt;_xlpm.fin,0,NETWORKDAYS(_xlpm.inicio,_xlpm.fin,_xlpm.feriados)),_xlpm.factor,IF($G120="Probable",IF(Parametros!$B$6="Sí",1,0),1),IF(OR($A120="",$D120="",$E120=""),0,_xlpm.dias*$I120*_xlpm.factor))</f>
        <v/>
      </c>
      <c r="L120" s="33">
        <f>_xlfn.LET(_xlpm.inicio,MAX($D120,L$3),_xlpm.fin,MIN($E120,L$4),_xlpm.feriados,IF($H120="CO",FER_CO,FER_EC),_xlpm.dias,IF(_xlpm.inicio&gt;_xlpm.fin,0,NETWORKDAYS(_xlpm.inicio,_xlpm.fin,_xlpm.feriados)),_xlpm.factor,IF($G120="Probable",IF(Parametros!$B$6="Sí",1,0),1),IF(OR($A120="",$D120="",$E120=""),0,_xlpm.dias*$I120*_xlpm.factor))</f>
        <v/>
      </c>
      <c r="M120" s="33">
        <f>_xlfn.LET(_xlpm.inicio,MAX($D120,M$3),_xlpm.fin,MIN($E120,M$4),_xlpm.feriados,IF($H120="CO",FER_CO,FER_EC),_xlpm.dias,IF(_xlpm.inicio&gt;_xlpm.fin,0,NETWORKDAYS(_xlpm.inicio,_xlpm.fin,_xlpm.feriados)),_xlpm.factor,IF($G120="Probable",IF(Parametros!$B$6="Sí",1,0),1),IF(OR($A120="",$D120="",$E120=""),0,_xlpm.dias*$I120*_xlpm.factor))</f>
        <v/>
      </c>
      <c r="N120" s="33">
        <f>_xlfn.LET(_xlpm.inicio,MAX($D120,N$3),_xlpm.fin,MIN($E120,N$4),_xlpm.feriados,IF($H120="CO",FER_CO,FER_EC),_xlpm.dias,IF(_xlpm.inicio&gt;_xlpm.fin,0,NETWORKDAYS(_xlpm.inicio,_xlpm.fin,_xlpm.feriados)),_xlpm.factor,IF($G120="Probable",IF(Parametros!$B$6="Sí",1,0),1),IF(OR($A120="",$D120="",$E120=""),0,_xlpm.dias*$I120*_xlpm.factor))</f>
        <v/>
      </c>
      <c r="O120" s="33">
        <f>_xlfn.LET(_xlpm.inicio,MAX($D120,O$3),_xlpm.fin,MIN($E120,O$4),_xlpm.feriados,IF($H120="CO",FER_CO,FER_EC),_xlpm.dias,IF(_xlpm.inicio&gt;_xlpm.fin,0,NETWORKDAYS(_xlpm.inicio,_xlpm.fin,_xlpm.feriados)),_xlpm.factor,IF($G120="Probable",IF(Parametros!$B$6="Sí",1,0),1),IF(OR($A120="",$D120="",$E120=""),0,_xlpm.dias*$I120*_xlpm.factor))</f>
        <v/>
      </c>
      <c r="P120" s="34">
        <f>_xlfn.LET(_xlpm.horas,J120,_xlpm.feriados,IF($H120="CO",FER_CO,FER_EC),_xlpm.capacidad,NETWORKDAYS(J$3,J$4,_xlpm.feriados)*INDEX(Consultores!$C$6:$C$65,MATCH($A120,Consultores!$A$6:$A$65,0)),IF(_xlpm.horas=0,"",IFERROR(_xlpm.horas/_xlpm.capacidad,"")))</f>
        <v/>
      </c>
      <c r="Q120" s="34">
        <f>_xlfn.LET(_xlpm.horas,K120,_xlpm.feriados,IF($H120="CO",FER_CO,FER_EC),_xlpm.capacidad,NETWORKDAYS(K$3,K$4,_xlpm.feriados)*INDEX(Consultores!$C$6:$C$65,MATCH($A120,Consultores!$A$6:$A$65,0)),IF(_xlpm.horas=0,"",IFERROR(_xlpm.horas/_xlpm.capacidad,"")))</f>
        <v/>
      </c>
      <c r="R120" s="34">
        <f>_xlfn.LET(_xlpm.horas,L120,_xlpm.feriados,IF($H120="CO",FER_CO,FER_EC),_xlpm.capacidad,NETWORKDAYS(L$3,L$4,_xlpm.feriados)*INDEX(Consultores!$C$6:$C$65,MATCH($A120,Consultores!$A$6:$A$65,0)),IF(_xlpm.horas=0,"",IFERROR(_xlpm.horas/_xlpm.capacidad,"")))</f>
        <v/>
      </c>
      <c r="S120" s="34">
        <f>_xlfn.LET(_xlpm.horas,M120,_xlpm.feriados,IF($H120="CO",FER_CO,FER_EC),_xlpm.capacidad,NETWORKDAYS(M$3,M$4,_xlpm.feriados)*INDEX(Consultores!$C$6:$C$65,MATCH($A120,Consultores!$A$6:$A$65,0)),IF(_xlpm.horas=0,"",IFERROR(_xlpm.horas/_xlpm.capacidad,"")))</f>
        <v/>
      </c>
      <c r="T120" s="34">
        <f>_xlfn.LET(_xlpm.horas,N120,_xlpm.feriados,IF($H120="CO",FER_CO,FER_EC),_xlpm.capacidad,NETWORKDAYS(N$3,N$4,_xlpm.feriados)*INDEX(Consultores!$C$6:$C$65,MATCH($A120,Consultores!$A$6:$A$65,0)),IF(_xlpm.horas=0,"",IFERROR(_xlpm.horas/_xlpm.capacidad,"")))</f>
        <v/>
      </c>
      <c r="U120" s="34">
        <f>_xlfn.LET(_xlpm.horas,O120,_xlpm.feriados,IF($H120="CO",FER_CO,FER_EC),_xlpm.capacidad,NETWORKDAYS(O$3,O$4,_xlpm.feriados)*INDEX(Consultores!$C$6:$C$65,MATCH($A120,Consultores!$A$6:$A$65,0)),IF(_xlpm.horas=0,"",IFERROR(_xlpm.horas/_xlpm.capacidad,"")))</f>
        <v/>
      </c>
    </row>
    <row r="121">
      <c r="A121" s="25" t="n"/>
      <c r="B121" s="25" t="n"/>
      <c r="C121" s="25" t="n"/>
      <c r="D121" s="30" t="n"/>
      <c r="E121" s="30" t="n"/>
      <c r="F121" s="26" t="n"/>
      <c r="G121" s="25" t="n"/>
      <c r="H121" s="31">
        <f>IF($A121="","",IFERROR(INDEX(Consultores!$B$6:$B$65,MATCH($A121,Consultores!$A$6:$A$65,0)),"No existe"))</f>
        <v/>
      </c>
      <c r="I121" s="32">
        <f>IF($F121="",0,$F121/5)</f>
        <v/>
      </c>
      <c r="J121" s="33">
        <f>_xlfn.LET(_xlpm.inicio,MAX($D121,J$3),_xlpm.fin,MIN($E121,J$4),_xlpm.feriados,IF($H121="CO",FER_CO,FER_EC),_xlpm.dias,IF(_xlpm.inicio&gt;_xlpm.fin,0,NETWORKDAYS(_xlpm.inicio,_xlpm.fin,_xlpm.feriados)),_xlpm.factor,IF($G121="Probable",IF(Parametros!$B$6="Sí",1,0),1),IF(OR($A121="",$D121="",$E121=""),0,_xlpm.dias*$I121*_xlpm.factor))</f>
        <v/>
      </c>
      <c r="K121" s="33">
        <f>_xlfn.LET(_xlpm.inicio,MAX($D121,K$3),_xlpm.fin,MIN($E121,K$4),_xlpm.feriados,IF($H121="CO",FER_CO,FER_EC),_xlpm.dias,IF(_xlpm.inicio&gt;_xlpm.fin,0,NETWORKDAYS(_xlpm.inicio,_xlpm.fin,_xlpm.feriados)),_xlpm.factor,IF($G121="Probable",IF(Parametros!$B$6="Sí",1,0),1),IF(OR($A121="",$D121="",$E121=""),0,_xlpm.dias*$I121*_xlpm.factor))</f>
        <v/>
      </c>
      <c r="L121" s="33">
        <f>_xlfn.LET(_xlpm.inicio,MAX($D121,L$3),_xlpm.fin,MIN($E121,L$4),_xlpm.feriados,IF($H121="CO",FER_CO,FER_EC),_xlpm.dias,IF(_xlpm.inicio&gt;_xlpm.fin,0,NETWORKDAYS(_xlpm.inicio,_xlpm.fin,_xlpm.feriados)),_xlpm.factor,IF($G121="Probable",IF(Parametros!$B$6="Sí",1,0),1),IF(OR($A121="",$D121="",$E121=""),0,_xlpm.dias*$I121*_xlpm.factor))</f>
        <v/>
      </c>
      <c r="M121" s="33">
        <f>_xlfn.LET(_xlpm.inicio,MAX($D121,M$3),_xlpm.fin,MIN($E121,M$4),_xlpm.feriados,IF($H121="CO",FER_CO,FER_EC),_xlpm.dias,IF(_xlpm.inicio&gt;_xlpm.fin,0,NETWORKDAYS(_xlpm.inicio,_xlpm.fin,_xlpm.feriados)),_xlpm.factor,IF($G121="Probable",IF(Parametros!$B$6="Sí",1,0),1),IF(OR($A121="",$D121="",$E121=""),0,_xlpm.dias*$I121*_xlpm.factor))</f>
        <v/>
      </c>
      <c r="N121" s="33">
        <f>_xlfn.LET(_xlpm.inicio,MAX($D121,N$3),_xlpm.fin,MIN($E121,N$4),_xlpm.feriados,IF($H121="CO",FER_CO,FER_EC),_xlpm.dias,IF(_xlpm.inicio&gt;_xlpm.fin,0,NETWORKDAYS(_xlpm.inicio,_xlpm.fin,_xlpm.feriados)),_xlpm.factor,IF($G121="Probable",IF(Parametros!$B$6="Sí",1,0),1),IF(OR($A121="",$D121="",$E121=""),0,_xlpm.dias*$I121*_xlpm.factor))</f>
        <v/>
      </c>
      <c r="O121" s="33">
        <f>_xlfn.LET(_xlpm.inicio,MAX($D121,O$3),_xlpm.fin,MIN($E121,O$4),_xlpm.feriados,IF($H121="CO",FER_CO,FER_EC),_xlpm.dias,IF(_xlpm.inicio&gt;_xlpm.fin,0,NETWORKDAYS(_xlpm.inicio,_xlpm.fin,_xlpm.feriados)),_xlpm.factor,IF($G121="Probable",IF(Parametros!$B$6="Sí",1,0),1),IF(OR($A121="",$D121="",$E121=""),0,_xlpm.dias*$I121*_xlpm.factor))</f>
        <v/>
      </c>
      <c r="P121" s="34">
        <f>_xlfn.LET(_xlpm.horas,J121,_xlpm.feriados,IF($H121="CO",FER_CO,FER_EC),_xlpm.capacidad,NETWORKDAYS(J$3,J$4,_xlpm.feriados)*INDEX(Consultores!$C$6:$C$65,MATCH($A121,Consultores!$A$6:$A$65,0)),IF(_xlpm.horas=0,"",IFERROR(_xlpm.horas/_xlpm.capacidad,"")))</f>
        <v/>
      </c>
      <c r="Q121" s="34">
        <f>_xlfn.LET(_xlpm.horas,K121,_xlpm.feriados,IF($H121="CO",FER_CO,FER_EC),_xlpm.capacidad,NETWORKDAYS(K$3,K$4,_xlpm.feriados)*INDEX(Consultores!$C$6:$C$65,MATCH($A121,Consultores!$A$6:$A$65,0)),IF(_xlpm.horas=0,"",IFERROR(_xlpm.horas/_xlpm.capacidad,"")))</f>
        <v/>
      </c>
      <c r="R121" s="34">
        <f>_xlfn.LET(_xlpm.horas,L121,_xlpm.feriados,IF($H121="CO",FER_CO,FER_EC),_xlpm.capacidad,NETWORKDAYS(L$3,L$4,_xlpm.feriados)*INDEX(Consultores!$C$6:$C$65,MATCH($A121,Consultores!$A$6:$A$65,0)),IF(_xlpm.horas=0,"",IFERROR(_xlpm.horas/_xlpm.capacidad,"")))</f>
        <v/>
      </c>
      <c r="S121" s="34">
        <f>_xlfn.LET(_xlpm.horas,M121,_xlpm.feriados,IF($H121="CO",FER_CO,FER_EC),_xlpm.capacidad,NETWORKDAYS(M$3,M$4,_xlpm.feriados)*INDEX(Consultores!$C$6:$C$65,MATCH($A121,Consultores!$A$6:$A$65,0)),IF(_xlpm.horas=0,"",IFERROR(_xlpm.horas/_xlpm.capacidad,"")))</f>
        <v/>
      </c>
      <c r="T121" s="34">
        <f>_xlfn.LET(_xlpm.horas,N121,_xlpm.feriados,IF($H121="CO",FER_CO,FER_EC),_xlpm.capacidad,NETWORKDAYS(N$3,N$4,_xlpm.feriados)*INDEX(Consultores!$C$6:$C$65,MATCH($A121,Consultores!$A$6:$A$65,0)),IF(_xlpm.horas=0,"",IFERROR(_xlpm.horas/_xlpm.capacidad,"")))</f>
        <v/>
      </c>
      <c r="U121" s="34">
        <f>_xlfn.LET(_xlpm.horas,O121,_xlpm.feriados,IF($H121="CO",FER_CO,FER_EC),_xlpm.capacidad,NETWORKDAYS(O$3,O$4,_xlpm.feriados)*INDEX(Consultores!$C$6:$C$65,MATCH($A121,Consultores!$A$6:$A$65,0)),IF(_xlpm.horas=0,"",IFERROR(_xlpm.horas/_xlpm.capacidad,"")))</f>
        <v/>
      </c>
    </row>
    <row r="122">
      <c r="A122" s="25" t="n"/>
      <c r="B122" s="25" t="n"/>
      <c r="C122" s="25" t="n"/>
      <c r="D122" s="30" t="n"/>
      <c r="E122" s="30" t="n"/>
      <c r="F122" s="26" t="n"/>
      <c r="G122" s="25" t="n"/>
      <c r="H122" s="31">
        <f>IF($A122="","",IFERROR(INDEX(Consultores!$B$6:$B$65,MATCH($A122,Consultores!$A$6:$A$65,0)),"No existe"))</f>
        <v/>
      </c>
      <c r="I122" s="32">
        <f>IF($F122="",0,$F122/5)</f>
        <v/>
      </c>
      <c r="J122" s="33">
        <f>_xlfn.LET(_xlpm.inicio,MAX($D122,J$3),_xlpm.fin,MIN($E122,J$4),_xlpm.feriados,IF($H122="CO",FER_CO,FER_EC),_xlpm.dias,IF(_xlpm.inicio&gt;_xlpm.fin,0,NETWORKDAYS(_xlpm.inicio,_xlpm.fin,_xlpm.feriados)),_xlpm.factor,IF($G122="Probable",IF(Parametros!$B$6="Sí",1,0),1),IF(OR($A122="",$D122="",$E122=""),0,_xlpm.dias*$I122*_xlpm.factor))</f>
        <v/>
      </c>
      <c r="K122" s="33">
        <f>_xlfn.LET(_xlpm.inicio,MAX($D122,K$3),_xlpm.fin,MIN($E122,K$4),_xlpm.feriados,IF($H122="CO",FER_CO,FER_EC),_xlpm.dias,IF(_xlpm.inicio&gt;_xlpm.fin,0,NETWORKDAYS(_xlpm.inicio,_xlpm.fin,_xlpm.feriados)),_xlpm.factor,IF($G122="Probable",IF(Parametros!$B$6="Sí",1,0),1),IF(OR($A122="",$D122="",$E122=""),0,_xlpm.dias*$I122*_xlpm.factor))</f>
        <v/>
      </c>
      <c r="L122" s="33">
        <f>_xlfn.LET(_xlpm.inicio,MAX($D122,L$3),_xlpm.fin,MIN($E122,L$4),_xlpm.feriados,IF($H122="CO",FER_CO,FER_EC),_xlpm.dias,IF(_xlpm.inicio&gt;_xlpm.fin,0,NETWORKDAYS(_xlpm.inicio,_xlpm.fin,_xlpm.feriados)),_xlpm.factor,IF($G122="Probable",IF(Parametros!$B$6="Sí",1,0),1),IF(OR($A122="",$D122="",$E122=""),0,_xlpm.dias*$I122*_xlpm.factor))</f>
        <v/>
      </c>
      <c r="M122" s="33">
        <f>_xlfn.LET(_xlpm.inicio,MAX($D122,M$3),_xlpm.fin,MIN($E122,M$4),_xlpm.feriados,IF($H122="CO",FER_CO,FER_EC),_xlpm.dias,IF(_xlpm.inicio&gt;_xlpm.fin,0,NETWORKDAYS(_xlpm.inicio,_xlpm.fin,_xlpm.feriados)),_xlpm.factor,IF($G122="Probable",IF(Parametros!$B$6="Sí",1,0),1),IF(OR($A122="",$D122="",$E122=""),0,_xlpm.dias*$I122*_xlpm.factor))</f>
        <v/>
      </c>
      <c r="N122" s="33">
        <f>_xlfn.LET(_xlpm.inicio,MAX($D122,N$3),_xlpm.fin,MIN($E122,N$4),_xlpm.feriados,IF($H122="CO",FER_CO,FER_EC),_xlpm.dias,IF(_xlpm.inicio&gt;_xlpm.fin,0,NETWORKDAYS(_xlpm.inicio,_xlpm.fin,_xlpm.feriados)),_xlpm.factor,IF($G122="Probable",IF(Parametros!$B$6="Sí",1,0),1),IF(OR($A122="",$D122="",$E122=""),0,_xlpm.dias*$I122*_xlpm.factor))</f>
        <v/>
      </c>
      <c r="O122" s="33">
        <f>_xlfn.LET(_xlpm.inicio,MAX($D122,O$3),_xlpm.fin,MIN($E122,O$4),_xlpm.feriados,IF($H122="CO",FER_CO,FER_EC),_xlpm.dias,IF(_xlpm.inicio&gt;_xlpm.fin,0,NETWORKDAYS(_xlpm.inicio,_xlpm.fin,_xlpm.feriados)),_xlpm.factor,IF($G122="Probable",IF(Parametros!$B$6="Sí",1,0),1),IF(OR($A122="",$D122="",$E122=""),0,_xlpm.dias*$I122*_xlpm.factor))</f>
        <v/>
      </c>
      <c r="P122" s="34">
        <f>_xlfn.LET(_xlpm.horas,J122,_xlpm.feriados,IF($H122="CO",FER_CO,FER_EC),_xlpm.capacidad,NETWORKDAYS(J$3,J$4,_xlpm.feriados)*INDEX(Consultores!$C$6:$C$65,MATCH($A122,Consultores!$A$6:$A$65,0)),IF(_xlpm.horas=0,"",IFERROR(_xlpm.horas/_xlpm.capacidad,"")))</f>
        <v/>
      </c>
      <c r="Q122" s="34">
        <f>_xlfn.LET(_xlpm.horas,K122,_xlpm.feriados,IF($H122="CO",FER_CO,FER_EC),_xlpm.capacidad,NETWORKDAYS(K$3,K$4,_xlpm.feriados)*INDEX(Consultores!$C$6:$C$65,MATCH($A122,Consultores!$A$6:$A$65,0)),IF(_xlpm.horas=0,"",IFERROR(_xlpm.horas/_xlpm.capacidad,"")))</f>
        <v/>
      </c>
      <c r="R122" s="34">
        <f>_xlfn.LET(_xlpm.horas,L122,_xlpm.feriados,IF($H122="CO",FER_CO,FER_EC),_xlpm.capacidad,NETWORKDAYS(L$3,L$4,_xlpm.feriados)*INDEX(Consultores!$C$6:$C$65,MATCH($A122,Consultores!$A$6:$A$65,0)),IF(_xlpm.horas=0,"",IFERROR(_xlpm.horas/_xlpm.capacidad,"")))</f>
        <v/>
      </c>
      <c r="S122" s="34">
        <f>_xlfn.LET(_xlpm.horas,M122,_xlpm.feriados,IF($H122="CO",FER_CO,FER_EC),_xlpm.capacidad,NETWORKDAYS(M$3,M$4,_xlpm.feriados)*INDEX(Consultores!$C$6:$C$65,MATCH($A122,Consultores!$A$6:$A$65,0)),IF(_xlpm.horas=0,"",IFERROR(_xlpm.horas/_xlpm.capacidad,"")))</f>
        <v/>
      </c>
      <c r="T122" s="34">
        <f>_xlfn.LET(_xlpm.horas,N122,_xlpm.feriados,IF($H122="CO",FER_CO,FER_EC),_xlpm.capacidad,NETWORKDAYS(N$3,N$4,_xlpm.feriados)*INDEX(Consultores!$C$6:$C$65,MATCH($A122,Consultores!$A$6:$A$65,0)),IF(_xlpm.horas=0,"",IFERROR(_xlpm.horas/_xlpm.capacidad,"")))</f>
        <v/>
      </c>
      <c r="U122" s="34">
        <f>_xlfn.LET(_xlpm.horas,O122,_xlpm.feriados,IF($H122="CO",FER_CO,FER_EC),_xlpm.capacidad,NETWORKDAYS(O$3,O$4,_xlpm.feriados)*INDEX(Consultores!$C$6:$C$65,MATCH($A122,Consultores!$A$6:$A$65,0)),IF(_xlpm.horas=0,"",IFERROR(_xlpm.horas/_xlpm.capacidad,"")))</f>
        <v/>
      </c>
    </row>
    <row r="123">
      <c r="A123" s="25" t="n"/>
      <c r="B123" s="25" t="n"/>
      <c r="C123" s="25" t="n"/>
      <c r="D123" s="30" t="n"/>
      <c r="E123" s="30" t="n"/>
      <c r="F123" s="26" t="n"/>
      <c r="G123" s="25" t="n"/>
      <c r="H123" s="31">
        <f>IF($A123="","",IFERROR(INDEX(Consultores!$B$6:$B$65,MATCH($A123,Consultores!$A$6:$A$65,0)),"No existe"))</f>
        <v/>
      </c>
      <c r="I123" s="32">
        <f>IF($F123="",0,$F123/5)</f>
        <v/>
      </c>
      <c r="J123" s="33">
        <f>_xlfn.LET(_xlpm.inicio,MAX($D123,J$3),_xlpm.fin,MIN($E123,J$4),_xlpm.feriados,IF($H123="CO",FER_CO,FER_EC),_xlpm.dias,IF(_xlpm.inicio&gt;_xlpm.fin,0,NETWORKDAYS(_xlpm.inicio,_xlpm.fin,_xlpm.feriados)),_xlpm.factor,IF($G123="Probable",IF(Parametros!$B$6="Sí",1,0),1),IF(OR($A123="",$D123="",$E123=""),0,_xlpm.dias*$I123*_xlpm.factor))</f>
        <v/>
      </c>
      <c r="K123" s="33">
        <f>_xlfn.LET(_xlpm.inicio,MAX($D123,K$3),_xlpm.fin,MIN($E123,K$4),_xlpm.feriados,IF($H123="CO",FER_CO,FER_EC),_xlpm.dias,IF(_xlpm.inicio&gt;_xlpm.fin,0,NETWORKDAYS(_xlpm.inicio,_xlpm.fin,_xlpm.feriados)),_xlpm.factor,IF($G123="Probable",IF(Parametros!$B$6="Sí",1,0),1),IF(OR($A123="",$D123="",$E123=""),0,_xlpm.dias*$I123*_xlpm.factor))</f>
        <v/>
      </c>
      <c r="L123" s="33">
        <f>_xlfn.LET(_xlpm.inicio,MAX($D123,L$3),_xlpm.fin,MIN($E123,L$4),_xlpm.feriados,IF($H123="CO",FER_CO,FER_EC),_xlpm.dias,IF(_xlpm.inicio&gt;_xlpm.fin,0,NETWORKDAYS(_xlpm.inicio,_xlpm.fin,_xlpm.feriados)),_xlpm.factor,IF($G123="Probable",IF(Parametros!$B$6="Sí",1,0),1),IF(OR($A123="",$D123="",$E123=""),0,_xlpm.dias*$I123*_xlpm.factor))</f>
        <v/>
      </c>
      <c r="M123" s="33">
        <f>_xlfn.LET(_xlpm.inicio,MAX($D123,M$3),_xlpm.fin,MIN($E123,M$4),_xlpm.feriados,IF($H123="CO",FER_CO,FER_EC),_xlpm.dias,IF(_xlpm.inicio&gt;_xlpm.fin,0,NETWORKDAYS(_xlpm.inicio,_xlpm.fin,_xlpm.feriados)),_xlpm.factor,IF($G123="Probable",IF(Parametros!$B$6="Sí",1,0),1),IF(OR($A123="",$D123="",$E123=""),0,_xlpm.dias*$I123*_xlpm.factor))</f>
        <v/>
      </c>
      <c r="N123" s="33">
        <f>_xlfn.LET(_xlpm.inicio,MAX($D123,N$3),_xlpm.fin,MIN($E123,N$4),_xlpm.feriados,IF($H123="CO",FER_CO,FER_EC),_xlpm.dias,IF(_xlpm.inicio&gt;_xlpm.fin,0,NETWORKDAYS(_xlpm.inicio,_xlpm.fin,_xlpm.feriados)),_xlpm.factor,IF($G123="Probable",IF(Parametros!$B$6="Sí",1,0),1),IF(OR($A123="",$D123="",$E123=""),0,_xlpm.dias*$I123*_xlpm.factor))</f>
        <v/>
      </c>
      <c r="O123" s="33">
        <f>_xlfn.LET(_xlpm.inicio,MAX($D123,O$3),_xlpm.fin,MIN($E123,O$4),_xlpm.feriados,IF($H123="CO",FER_CO,FER_EC),_xlpm.dias,IF(_xlpm.inicio&gt;_xlpm.fin,0,NETWORKDAYS(_xlpm.inicio,_xlpm.fin,_xlpm.feriados)),_xlpm.factor,IF($G123="Probable",IF(Parametros!$B$6="Sí",1,0),1),IF(OR($A123="",$D123="",$E123=""),0,_xlpm.dias*$I123*_xlpm.factor))</f>
        <v/>
      </c>
      <c r="P123" s="34">
        <f>_xlfn.LET(_xlpm.horas,J123,_xlpm.feriados,IF($H123="CO",FER_CO,FER_EC),_xlpm.capacidad,NETWORKDAYS(J$3,J$4,_xlpm.feriados)*INDEX(Consultores!$C$6:$C$65,MATCH($A123,Consultores!$A$6:$A$65,0)),IF(_xlpm.horas=0,"",IFERROR(_xlpm.horas/_xlpm.capacidad,"")))</f>
        <v/>
      </c>
      <c r="Q123" s="34">
        <f>_xlfn.LET(_xlpm.horas,K123,_xlpm.feriados,IF($H123="CO",FER_CO,FER_EC),_xlpm.capacidad,NETWORKDAYS(K$3,K$4,_xlpm.feriados)*INDEX(Consultores!$C$6:$C$65,MATCH($A123,Consultores!$A$6:$A$65,0)),IF(_xlpm.horas=0,"",IFERROR(_xlpm.horas/_xlpm.capacidad,"")))</f>
        <v/>
      </c>
      <c r="R123" s="34">
        <f>_xlfn.LET(_xlpm.horas,L123,_xlpm.feriados,IF($H123="CO",FER_CO,FER_EC),_xlpm.capacidad,NETWORKDAYS(L$3,L$4,_xlpm.feriados)*INDEX(Consultores!$C$6:$C$65,MATCH($A123,Consultores!$A$6:$A$65,0)),IF(_xlpm.horas=0,"",IFERROR(_xlpm.horas/_xlpm.capacidad,"")))</f>
        <v/>
      </c>
      <c r="S123" s="34">
        <f>_xlfn.LET(_xlpm.horas,M123,_xlpm.feriados,IF($H123="CO",FER_CO,FER_EC),_xlpm.capacidad,NETWORKDAYS(M$3,M$4,_xlpm.feriados)*INDEX(Consultores!$C$6:$C$65,MATCH($A123,Consultores!$A$6:$A$65,0)),IF(_xlpm.horas=0,"",IFERROR(_xlpm.horas/_xlpm.capacidad,"")))</f>
        <v/>
      </c>
      <c r="T123" s="34">
        <f>_xlfn.LET(_xlpm.horas,N123,_xlpm.feriados,IF($H123="CO",FER_CO,FER_EC),_xlpm.capacidad,NETWORKDAYS(N$3,N$4,_xlpm.feriados)*INDEX(Consultores!$C$6:$C$65,MATCH($A123,Consultores!$A$6:$A$65,0)),IF(_xlpm.horas=0,"",IFERROR(_xlpm.horas/_xlpm.capacidad,"")))</f>
        <v/>
      </c>
      <c r="U123" s="34">
        <f>_xlfn.LET(_xlpm.horas,O123,_xlpm.feriados,IF($H123="CO",FER_CO,FER_EC),_xlpm.capacidad,NETWORKDAYS(O$3,O$4,_xlpm.feriados)*INDEX(Consultores!$C$6:$C$65,MATCH($A123,Consultores!$A$6:$A$65,0)),IF(_xlpm.horas=0,"",IFERROR(_xlpm.horas/_xlpm.capacidad,"")))</f>
        <v/>
      </c>
    </row>
    <row r="124">
      <c r="A124" s="25" t="n"/>
      <c r="B124" s="25" t="n"/>
      <c r="C124" s="25" t="n"/>
      <c r="D124" s="30" t="n"/>
      <c r="E124" s="30" t="n"/>
      <c r="F124" s="26" t="n"/>
      <c r="G124" s="25" t="n"/>
      <c r="H124" s="31">
        <f>IF($A124="","",IFERROR(INDEX(Consultores!$B$6:$B$65,MATCH($A124,Consultores!$A$6:$A$65,0)),"No existe"))</f>
        <v/>
      </c>
      <c r="I124" s="32">
        <f>IF($F124="",0,$F124/5)</f>
        <v/>
      </c>
      <c r="J124" s="33">
        <f>_xlfn.LET(_xlpm.inicio,MAX($D124,J$3),_xlpm.fin,MIN($E124,J$4),_xlpm.feriados,IF($H124="CO",FER_CO,FER_EC),_xlpm.dias,IF(_xlpm.inicio&gt;_xlpm.fin,0,NETWORKDAYS(_xlpm.inicio,_xlpm.fin,_xlpm.feriados)),_xlpm.factor,IF($G124="Probable",IF(Parametros!$B$6="Sí",1,0),1),IF(OR($A124="",$D124="",$E124=""),0,_xlpm.dias*$I124*_xlpm.factor))</f>
        <v/>
      </c>
      <c r="K124" s="33">
        <f>_xlfn.LET(_xlpm.inicio,MAX($D124,K$3),_xlpm.fin,MIN($E124,K$4),_xlpm.feriados,IF($H124="CO",FER_CO,FER_EC),_xlpm.dias,IF(_xlpm.inicio&gt;_xlpm.fin,0,NETWORKDAYS(_xlpm.inicio,_xlpm.fin,_xlpm.feriados)),_xlpm.factor,IF($G124="Probable",IF(Parametros!$B$6="Sí",1,0),1),IF(OR($A124="",$D124="",$E124=""),0,_xlpm.dias*$I124*_xlpm.factor))</f>
        <v/>
      </c>
      <c r="L124" s="33">
        <f>_xlfn.LET(_xlpm.inicio,MAX($D124,L$3),_xlpm.fin,MIN($E124,L$4),_xlpm.feriados,IF($H124="CO",FER_CO,FER_EC),_xlpm.dias,IF(_xlpm.inicio&gt;_xlpm.fin,0,NETWORKDAYS(_xlpm.inicio,_xlpm.fin,_xlpm.feriados)),_xlpm.factor,IF($G124="Probable",IF(Parametros!$B$6="Sí",1,0),1),IF(OR($A124="",$D124="",$E124=""),0,_xlpm.dias*$I124*_xlpm.factor))</f>
        <v/>
      </c>
      <c r="M124" s="33">
        <f>_xlfn.LET(_xlpm.inicio,MAX($D124,M$3),_xlpm.fin,MIN($E124,M$4),_xlpm.feriados,IF($H124="CO",FER_CO,FER_EC),_xlpm.dias,IF(_xlpm.inicio&gt;_xlpm.fin,0,NETWORKDAYS(_xlpm.inicio,_xlpm.fin,_xlpm.feriados)),_xlpm.factor,IF($G124="Probable",IF(Parametros!$B$6="Sí",1,0),1),IF(OR($A124="",$D124="",$E124=""),0,_xlpm.dias*$I124*_xlpm.factor))</f>
        <v/>
      </c>
      <c r="N124" s="33">
        <f>_xlfn.LET(_xlpm.inicio,MAX($D124,N$3),_xlpm.fin,MIN($E124,N$4),_xlpm.feriados,IF($H124="CO",FER_CO,FER_EC),_xlpm.dias,IF(_xlpm.inicio&gt;_xlpm.fin,0,NETWORKDAYS(_xlpm.inicio,_xlpm.fin,_xlpm.feriados)),_xlpm.factor,IF($G124="Probable",IF(Parametros!$B$6="Sí",1,0),1),IF(OR($A124="",$D124="",$E124=""),0,_xlpm.dias*$I124*_xlpm.factor))</f>
        <v/>
      </c>
      <c r="O124" s="33">
        <f>_xlfn.LET(_xlpm.inicio,MAX($D124,O$3),_xlpm.fin,MIN($E124,O$4),_xlpm.feriados,IF($H124="CO",FER_CO,FER_EC),_xlpm.dias,IF(_xlpm.inicio&gt;_xlpm.fin,0,NETWORKDAYS(_xlpm.inicio,_xlpm.fin,_xlpm.feriados)),_xlpm.factor,IF($G124="Probable",IF(Parametros!$B$6="Sí",1,0),1),IF(OR($A124="",$D124="",$E124=""),0,_xlpm.dias*$I124*_xlpm.factor))</f>
        <v/>
      </c>
      <c r="P124" s="34">
        <f>_xlfn.LET(_xlpm.horas,J124,_xlpm.feriados,IF($H124="CO",FER_CO,FER_EC),_xlpm.capacidad,NETWORKDAYS(J$3,J$4,_xlpm.feriados)*INDEX(Consultores!$C$6:$C$65,MATCH($A124,Consultores!$A$6:$A$65,0)),IF(_xlpm.horas=0,"",IFERROR(_xlpm.horas/_xlpm.capacidad,"")))</f>
        <v/>
      </c>
      <c r="Q124" s="34">
        <f>_xlfn.LET(_xlpm.horas,K124,_xlpm.feriados,IF($H124="CO",FER_CO,FER_EC),_xlpm.capacidad,NETWORKDAYS(K$3,K$4,_xlpm.feriados)*INDEX(Consultores!$C$6:$C$65,MATCH($A124,Consultores!$A$6:$A$65,0)),IF(_xlpm.horas=0,"",IFERROR(_xlpm.horas/_xlpm.capacidad,"")))</f>
        <v/>
      </c>
      <c r="R124" s="34">
        <f>_xlfn.LET(_xlpm.horas,L124,_xlpm.feriados,IF($H124="CO",FER_CO,FER_EC),_xlpm.capacidad,NETWORKDAYS(L$3,L$4,_xlpm.feriados)*INDEX(Consultores!$C$6:$C$65,MATCH($A124,Consultores!$A$6:$A$65,0)),IF(_xlpm.horas=0,"",IFERROR(_xlpm.horas/_xlpm.capacidad,"")))</f>
        <v/>
      </c>
      <c r="S124" s="34">
        <f>_xlfn.LET(_xlpm.horas,M124,_xlpm.feriados,IF($H124="CO",FER_CO,FER_EC),_xlpm.capacidad,NETWORKDAYS(M$3,M$4,_xlpm.feriados)*INDEX(Consultores!$C$6:$C$65,MATCH($A124,Consultores!$A$6:$A$65,0)),IF(_xlpm.horas=0,"",IFERROR(_xlpm.horas/_xlpm.capacidad,"")))</f>
        <v/>
      </c>
      <c r="T124" s="34">
        <f>_xlfn.LET(_xlpm.horas,N124,_xlpm.feriados,IF($H124="CO",FER_CO,FER_EC),_xlpm.capacidad,NETWORKDAYS(N$3,N$4,_xlpm.feriados)*INDEX(Consultores!$C$6:$C$65,MATCH($A124,Consultores!$A$6:$A$65,0)),IF(_xlpm.horas=0,"",IFERROR(_xlpm.horas/_xlpm.capacidad,"")))</f>
        <v/>
      </c>
      <c r="U124" s="34">
        <f>_xlfn.LET(_xlpm.horas,O124,_xlpm.feriados,IF($H124="CO",FER_CO,FER_EC),_xlpm.capacidad,NETWORKDAYS(O$3,O$4,_xlpm.feriados)*INDEX(Consultores!$C$6:$C$65,MATCH($A124,Consultores!$A$6:$A$65,0)),IF(_xlpm.horas=0,"",IFERROR(_xlpm.horas/_xlpm.capacidad,"")))</f>
        <v/>
      </c>
    </row>
    <row r="125">
      <c r="A125" s="25" t="n"/>
      <c r="B125" s="25" t="n"/>
      <c r="C125" s="25" t="n"/>
      <c r="D125" s="30" t="n"/>
      <c r="E125" s="30" t="n"/>
      <c r="F125" s="26" t="n"/>
      <c r="G125" s="25" t="n"/>
      <c r="H125" s="31">
        <f>IF($A125="","",IFERROR(INDEX(Consultores!$B$6:$B$65,MATCH($A125,Consultores!$A$6:$A$65,0)),"No existe"))</f>
        <v/>
      </c>
      <c r="I125" s="32">
        <f>IF($F125="",0,$F125/5)</f>
        <v/>
      </c>
      <c r="J125" s="33">
        <f>_xlfn.LET(_xlpm.inicio,MAX($D125,J$3),_xlpm.fin,MIN($E125,J$4),_xlpm.feriados,IF($H125="CO",FER_CO,FER_EC),_xlpm.dias,IF(_xlpm.inicio&gt;_xlpm.fin,0,NETWORKDAYS(_xlpm.inicio,_xlpm.fin,_xlpm.feriados)),_xlpm.factor,IF($G125="Probable",IF(Parametros!$B$6="Sí",1,0),1),IF(OR($A125="",$D125="",$E125=""),0,_xlpm.dias*$I125*_xlpm.factor))</f>
        <v/>
      </c>
      <c r="K125" s="33">
        <f>_xlfn.LET(_xlpm.inicio,MAX($D125,K$3),_xlpm.fin,MIN($E125,K$4),_xlpm.feriados,IF($H125="CO",FER_CO,FER_EC),_xlpm.dias,IF(_xlpm.inicio&gt;_xlpm.fin,0,NETWORKDAYS(_xlpm.inicio,_xlpm.fin,_xlpm.feriados)),_xlpm.factor,IF($G125="Probable",IF(Parametros!$B$6="Sí",1,0),1),IF(OR($A125="",$D125="",$E125=""),0,_xlpm.dias*$I125*_xlpm.factor))</f>
        <v/>
      </c>
      <c r="L125" s="33">
        <f>_xlfn.LET(_xlpm.inicio,MAX($D125,L$3),_xlpm.fin,MIN($E125,L$4),_xlpm.feriados,IF($H125="CO",FER_CO,FER_EC),_xlpm.dias,IF(_xlpm.inicio&gt;_xlpm.fin,0,NETWORKDAYS(_xlpm.inicio,_xlpm.fin,_xlpm.feriados)),_xlpm.factor,IF($G125="Probable",IF(Parametros!$B$6="Sí",1,0),1),IF(OR($A125="",$D125="",$E125=""),0,_xlpm.dias*$I125*_xlpm.factor))</f>
        <v/>
      </c>
      <c r="M125" s="33">
        <f>_xlfn.LET(_xlpm.inicio,MAX($D125,M$3),_xlpm.fin,MIN($E125,M$4),_xlpm.feriados,IF($H125="CO",FER_CO,FER_EC),_xlpm.dias,IF(_xlpm.inicio&gt;_xlpm.fin,0,NETWORKDAYS(_xlpm.inicio,_xlpm.fin,_xlpm.feriados)),_xlpm.factor,IF($G125="Probable",IF(Parametros!$B$6="Sí",1,0),1),IF(OR($A125="",$D125="",$E125=""),0,_xlpm.dias*$I125*_xlpm.factor))</f>
        <v/>
      </c>
      <c r="N125" s="33">
        <f>_xlfn.LET(_xlpm.inicio,MAX($D125,N$3),_xlpm.fin,MIN($E125,N$4),_xlpm.feriados,IF($H125="CO",FER_CO,FER_EC),_xlpm.dias,IF(_xlpm.inicio&gt;_xlpm.fin,0,NETWORKDAYS(_xlpm.inicio,_xlpm.fin,_xlpm.feriados)),_xlpm.factor,IF($G125="Probable",IF(Parametros!$B$6="Sí",1,0),1),IF(OR($A125="",$D125="",$E125=""),0,_xlpm.dias*$I125*_xlpm.factor))</f>
        <v/>
      </c>
      <c r="O125" s="33">
        <f>_xlfn.LET(_xlpm.inicio,MAX($D125,O$3),_xlpm.fin,MIN($E125,O$4),_xlpm.feriados,IF($H125="CO",FER_CO,FER_EC),_xlpm.dias,IF(_xlpm.inicio&gt;_xlpm.fin,0,NETWORKDAYS(_xlpm.inicio,_xlpm.fin,_xlpm.feriados)),_xlpm.factor,IF($G125="Probable",IF(Parametros!$B$6="Sí",1,0),1),IF(OR($A125="",$D125="",$E125=""),0,_xlpm.dias*$I125*_xlpm.factor))</f>
        <v/>
      </c>
      <c r="P125" s="34">
        <f>_xlfn.LET(_xlpm.horas,J125,_xlpm.feriados,IF($H125="CO",FER_CO,FER_EC),_xlpm.capacidad,NETWORKDAYS(J$3,J$4,_xlpm.feriados)*INDEX(Consultores!$C$6:$C$65,MATCH($A125,Consultores!$A$6:$A$65,0)),IF(_xlpm.horas=0,"",IFERROR(_xlpm.horas/_xlpm.capacidad,"")))</f>
        <v/>
      </c>
      <c r="Q125" s="34">
        <f>_xlfn.LET(_xlpm.horas,K125,_xlpm.feriados,IF($H125="CO",FER_CO,FER_EC),_xlpm.capacidad,NETWORKDAYS(K$3,K$4,_xlpm.feriados)*INDEX(Consultores!$C$6:$C$65,MATCH($A125,Consultores!$A$6:$A$65,0)),IF(_xlpm.horas=0,"",IFERROR(_xlpm.horas/_xlpm.capacidad,"")))</f>
        <v/>
      </c>
      <c r="R125" s="34">
        <f>_xlfn.LET(_xlpm.horas,L125,_xlpm.feriados,IF($H125="CO",FER_CO,FER_EC),_xlpm.capacidad,NETWORKDAYS(L$3,L$4,_xlpm.feriados)*INDEX(Consultores!$C$6:$C$65,MATCH($A125,Consultores!$A$6:$A$65,0)),IF(_xlpm.horas=0,"",IFERROR(_xlpm.horas/_xlpm.capacidad,"")))</f>
        <v/>
      </c>
      <c r="S125" s="34">
        <f>_xlfn.LET(_xlpm.horas,M125,_xlpm.feriados,IF($H125="CO",FER_CO,FER_EC),_xlpm.capacidad,NETWORKDAYS(M$3,M$4,_xlpm.feriados)*INDEX(Consultores!$C$6:$C$65,MATCH($A125,Consultores!$A$6:$A$65,0)),IF(_xlpm.horas=0,"",IFERROR(_xlpm.horas/_xlpm.capacidad,"")))</f>
        <v/>
      </c>
      <c r="T125" s="34">
        <f>_xlfn.LET(_xlpm.horas,N125,_xlpm.feriados,IF($H125="CO",FER_CO,FER_EC),_xlpm.capacidad,NETWORKDAYS(N$3,N$4,_xlpm.feriados)*INDEX(Consultores!$C$6:$C$65,MATCH($A125,Consultores!$A$6:$A$65,0)),IF(_xlpm.horas=0,"",IFERROR(_xlpm.horas/_xlpm.capacidad,"")))</f>
        <v/>
      </c>
      <c r="U125" s="34">
        <f>_xlfn.LET(_xlpm.horas,O125,_xlpm.feriados,IF($H125="CO",FER_CO,FER_EC),_xlpm.capacidad,NETWORKDAYS(O$3,O$4,_xlpm.feriados)*INDEX(Consultores!$C$6:$C$65,MATCH($A125,Consultores!$A$6:$A$65,0)),IF(_xlpm.horas=0,"",IFERROR(_xlpm.horas/_xlpm.capacidad,"")))</f>
        <v/>
      </c>
    </row>
    <row r="126">
      <c r="A126" s="25" t="n"/>
      <c r="B126" s="25" t="n"/>
      <c r="C126" s="25" t="n"/>
      <c r="D126" s="30" t="n"/>
      <c r="E126" s="30" t="n"/>
      <c r="F126" s="26" t="n"/>
      <c r="G126" s="25" t="n"/>
      <c r="H126" s="31">
        <f>IF($A126="","",IFERROR(INDEX(Consultores!$B$6:$B$65,MATCH($A126,Consultores!$A$6:$A$65,0)),"No existe"))</f>
        <v/>
      </c>
      <c r="I126" s="32">
        <f>IF($F126="",0,$F126/5)</f>
        <v/>
      </c>
      <c r="J126" s="33">
        <f>_xlfn.LET(_xlpm.inicio,MAX($D126,J$3),_xlpm.fin,MIN($E126,J$4),_xlpm.feriados,IF($H126="CO",FER_CO,FER_EC),_xlpm.dias,IF(_xlpm.inicio&gt;_xlpm.fin,0,NETWORKDAYS(_xlpm.inicio,_xlpm.fin,_xlpm.feriados)),_xlpm.factor,IF($G126="Probable",IF(Parametros!$B$6="Sí",1,0),1),IF(OR($A126="",$D126="",$E126=""),0,_xlpm.dias*$I126*_xlpm.factor))</f>
        <v/>
      </c>
      <c r="K126" s="33">
        <f>_xlfn.LET(_xlpm.inicio,MAX($D126,K$3),_xlpm.fin,MIN($E126,K$4),_xlpm.feriados,IF($H126="CO",FER_CO,FER_EC),_xlpm.dias,IF(_xlpm.inicio&gt;_xlpm.fin,0,NETWORKDAYS(_xlpm.inicio,_xlpm.fin,_xlpm.feriados)),_xlpm.factor,IF($G126="Probable",IF(Parametros!$B$6="Sí",1,0),1),IF(OR($A126="",$D126="",$E126=""),0,_xlpm.dias*$I126*_xlpm.factor))</f>
        <v/>
      </c>
      <c r="L126" s="33">
        <f>_xlfn.LET(_xlpm.inicio,MAX($D126,L$3),_xlpm.fin,MIN($E126,L$4),_xlpm.feriados,IF($H126="CO",FER_CO,FER_EC),_xlpm.dias,IF(_xlpm.inicio&gt;_xlpm.fin,0,NETWORKDAYS(_xlpm.inicio,_xlpm.fin,_xlpm.feriados)),_xlpm.factor,IF($G126="Probable",IF(Parametros!$B$6="Sí",1,0),1),IF(OR($A126="",$D126="",$E126=""),0,_xlpm.dias*$I126*_xlpm.factor))</f>
        <v/>
      </c>
      <c r="M126" s="33">
        <f>_xlfn.LET(_xlpm.inicio,MAX($D126,M$3),_xlpm.fin,MIN($E126,M$4),_xlpm.feriados,IF($H126="CO",FER_CO,FER_EC),_xlpm.dias,IF(_xlpm.inicio&gt;_xlpm.fin,0,NETWORKDAYS(_xlpm.inicio,_xlpm.fin,_xlpm.feriados)),_xlpm.factor,IF($G126="Probable",IF(Parametros!$B$6="Sí",1,0),1),IF(OR($A126="",$D126="",$E126=""),0,_xlpm.dias*$I126*_xlpm.factor))</f>
        <v/>
      </c>
      <c r="N126" s="33">
        <f>_xlfn.LET(_xlpm.inicio,MAX($D126,N$3),_xlpm.fin,MIN($E126,N$4),_xlpm.feriados,IF($H126="CO",FER_CO,FER_EC),_xlpm.dias,IF(_xlpm.inicio&gt;_xlpm.fin,0,NETWORKDAYS(_xlpm.inicio,_xlpm.fin,_xlpm.feriados)),_xlpm.factor,IF($G126="Probable",IF(Parametros!$B$6="Sí",1,0),1),IF(OR($A126="",$D126="",$E126=""),0,_xlpm.dias*$I126*_xlpm.factor))</f>
        <v/>
      </c>
      <c r="O126" s="33">
        <f>_xlfn.LET(_xlpm.inicio,MAX($D126,O$3),_xlpm.fin,MIN($E126,O$4),_xlpm.feriados,IF($H126="CO",FER_CO,FER_EC),_xlpm.dias,IF(_xlpm.inicio&gt;_xlpm.fin,0,NETWORKDAYS(_xlpm.inicio,_xlpm.fin,_xlpm.feriados)),_xlpm.factor,IF($G126="Probable",IF(Parametros!$B$6="Sí",1,0),1),IF(OR($A126="",$D126="",$E126=""),0,_xlpm.dias*$I126*_xlpm.factor))</f>
        <v/>
      </c>
      <c r="P126" s="34">
        <f>_xlfn.LET(_xlpm.horas,J126,_xlpm.feriados,IF($H126="CO",FER_CO,FER_EC),_xlpm.capacidad,NETWORKDAYS(J$3,J$4,_xlpm.feriados)*INDEX(Consultores!$C$6:$C$65,MATCH($A126,Consultores!$A$6:$A$65,0)),IF(_xlpm.horas=0,"",IFERROR(_xlpm.horas/_xlpm.capacidad,"")))</f>
        <v/>
      </c>
      <c r="Q126" s="34">
        <f>_xlfn.LET(_xlpm.horas,K126,_xlpm.feriados,IF($H126="CO",FER_CO,FER_EC),_xlpm.capacidad,NETWORKDAYS(K$3,K$4,_xlpm.feriados)*INDEX(Consultores!$C$6:$C$65,MATCH($A126,Consultores!$A$6:$A$65,0)),IF(_xlpm.horas=0,"",IFERROR(_xlpm.horas/_xlpm.capacidad,"")))</f>
        <v/>
      </c>
      <c r="R126" s="34">
        <f>_xlfn.LET(_xlpm.horas,L126,_xlpm.feriados,IF($H126="CO",FER_CO,FER_EC),_xlpm.capacidad,NETWORKDAYS(L$3,L$4,_xlpm.feriados)*INDEX(Consultores!$C$6:$C$65,MATCH($A126,Consultores!$A$6:$A$65,0)),IF(_xlpm.horas=0,"",IFERROR(_xlpm.horas/_xlpm.capacidad,"")))</f>
        <v/>
      </c>
      <c r="S126" s="34">
        <f>_xlfn.LET(_xlpm.horas,M126,_xlpm.feriados,IF($H126="CO",FER_CO,FER_EC),_xlpm.capacidad,NETWORKDAYS(M$3,M$4,_xlpm.feriados)*INDEX(Consultores!$C$6:$C$65,MATCH($A126,Consultores!$A$6:$A$65,0)),IF(_xlpm.horas=0,"",IFERROR(_xlpm.horas/_xlpm.capacidad,"")))</f>
        <v/>
      </c>
      <c r="T126" s="34">
        <f>_xlfn.LET(_xlpm.horas,N126,_xlpm.feriados,IF($H126="CO",FER_CO,FER_EC),_xlpm.capacidad,NETWORKDAYS(N$3,N$4,_xlpm.feriados)*INDEX(Consultores!$C$6:$C$65,MATCH($A126,Consultores!$A$6:$A$65,0)),IF(_xlpm.horas=0,"",IFERROR(_xlpm.horas/_xlpm.capacidad,"")))</f>
        <v/>
      </c>
      <c r="U126" s="34">
        <f>_xlfn.LET(_xlpm.horas,O126,_xlpm.feriados,IF($H126="CO",FER_CO,FER_EC),_xlpm.capacidad,NETWORKDAYS(O$3,O$4,_xlpm.feriados)*INDEX(Consultores!$C$6:$C$65,MATCH($A126,Consultores!$A$6:$A$65,0)),IF(_xlpm.horas=0,"",IFERROR(_xlpm.horas/_xlpm.capacidad,"")))</f>
        <v/>
      </c>
    </row>
    <row r="127">
      <c r="A127" s="25" t="n"/>
      <c r="B127" s="25" t="n"/>
      <c r="C127" s="25" t="n"/>
      <c r="D127" s="30" t="n"/>
      <c r="E127" s="30" t="n"/>
      <c r="F127" s="26" t="n"/>
      <c r="G127" s="25" t="n"/>
      <c r="H127" s="31">
        <f>IF($A127="","",IFERROR(INDEX(Consultores!$B$6:$B$65,MATCH($A127,Consultores!$A$6:$A$65,0)),"No existe"))</f>
        <v/>
      </c>
      <c r="I127" s="32">
        <f>IF($F127="",0,$F127/5)</f>
        <v/>
      </c>
      <c r="J127" s="33">
        <f>_xlfn.LET(_xlpm.inicio,MAX($D127,J$3),_xlpm.fin,MIN($E127,J$4),_xlpm.feriados,IF($H127="CO",FER_CO,FER_EC),_xlpm.dias,IF(_xlpm.inicio&gt;_xlpm.fin,0,NETWORKDAYS(_xlpm.inicio,_xlpm.fin,_xlpm.feriados)),_xlpm.factor,IF($G127="Probable",IF(Parametros!$B$6="Sí",1,0),1),IF(OR($A127="",$D127="",$E127=""),0,_xlpm.dias*$I127*_xlpm.factor))</f>
        <v/>
      </c>
      <c r="K127" s="33">
        <f>_xlfn.LET(_xlpm.inicio,MAX($D127,K$3),_xlpm.fin,MIN($E127,K$4),_xlpm.feriados,IF($H127="CO",FER_CO,FER_EC),_xlpm.dias,IF(_xlpm.inicio&gt;_xlpm.fin,0,NETWORKDAYS(_xlpm.inicio,_xlpm.fin,_xlpm.feriados)),_xlpm.factor,IF($G127="Probable",IF(Parametros!$B$6="Sí",1,0),1),IF(OR($A127="",$D127="",$E127=""),0,_xlpm.dias*$I127*_xlpm.factor))</f>
        <v/>
      </c>
      <c r="L127" s="33">
        <f>_xlfn.LET(_xlpm.inicio,MAX($D127,L$3),_xlpm.fin,MIN($E127,L$4),_xlpm.feriados,IF($H127="CO",FER_CO,FER_EC),_xlpm.dias,IF(_xlpm.inicio&gt;_xlpm.fin,0,NETWORKDAYS(_xlpm.inicio,_xlpm.fin,_xlpm.feriados)),_xlpm.factor,IF($G127="Probable",IF(Parametros!$B$6="Sí",1,0),1),IF(OR($A127="",$D127="",$E127=""),0,_xlpm.dias*$I127*_xlpm.factor))</f>
        <v/>
      </c>
      <c r="M127" s="33">
        <f>_xlfn.LET(_xlpm.inicio,MAX($D127,M$3),_xlpm.fin,MIN($E127,M$4),_xlpm.feriados,IF($H127="CO",FER_CO,FER_EC),_xlpm.dias,IF(_xlpm.inicio&gt;_xlpm.fin,0,NETWORKDAYS(_xlpm.inicio,_xlpm.fin,_xlpm.feriados)),_xlpm.factor,IF($G127="Probable",IF(Parametros!$B$6="Sí",1,0),1),IF(OR($A127="",$D127="",$E127=""),0,_xlpm.dias*$I127*_xlpm.factor))</f>
        <v/>
      </c>
      <c r="N127" s="33">
        <f>_xlfn.LET(_xlpm.inicio,MAX($D127,N$3),_xlpm.fin,MIN($E127,N$4),_xlpm.feriados,IF($H127="CO",FER_CO,FER_EC),_xlpm.dias,IF(_xlpm.inicio&gt;_xlpm.fin,0,NETWORKDAYS(_xlpm.inicio,_xlpm.fin,_xlpm.feriados)),_xlpm.factor,IF($G127="Probable",IF(Parametros!$B$6="Sí",1,0),1),IF(OR($A127="",$D127="",$E127=""),0,_xlpm.dias*$I127*_xlpm.factor))</f>
        <v/>
      </c>
      <c r="O127" s="33">
        <f>_xlfn.LET(_xlpm.inicio,MAX($D127,O$3),_xlpm.fin,MIN($E127,O$4),_xlpm.feriados,IF($H127="CO",FER_CO,FER_EC),_xlpm.dias,IF(_xlpm.inicio&gt;_xlpm.fin,0,NETWORKDAYS(_xlpm.inicio,_xlpm.fin,_xlpm.feriados)),_xlpm.factor,IF($G127="Probable",IF(Parametros!$B$6="Sí",1,0),1),IF(OR($A127="",$D127="",$E127=""),0,_xlpm.dias*$I127*_xlpm.factor))</f>
        <v/>
      </c>
      <c r="P127" s="34">
        <f>_xlfn.LET(_xlpm.horas,J127,_xlpm.feriados,IF($H127="CO",FER_CO,FER_EC),_xlpm.capacidad,NETWORKDAYS(J$3,J$4,_xlpm.feriados)*INDEX(Consultores!$C$6:$C$65,MATCH($A127,Consultores!$A$6:$A$65,0)),IF(_xlpm.horas=0,"",IFERROR(_xlpm.horas/_xlpm.capacidad,"")))</f>
        <v/>
      </c>
      <c r="Q127" s="34">
        <f>_xlfn.LET(_xlpm.horas,K127,_xlpm.feriados,IF($H127="CO",FER_CO,FER_EC),_xlpm.capacidad,NETWORKDAYS(K$3,K$4,_xlpm.feriados)*INDEX(Consultores!$C$6:$C$65,MATCH($A127,Consultores!$A$6:$A$65,0)),IF(_xlpm.horas=0,"",IFERROR(_xlpm.horas/_xlpm.capacidad,"")))</f>
        <v/>
      </c>
      <c r="R127" s="34">
        <f>_xlfn.LET(_xlpm.horas,L127,_xlpm.feriados,IF($H127="CO",FER_CO,FER_EC),_xlpm.capacidad,NETWORKDAYS(L$3,L$4,_xlpm.feriados)*INDEX(Consultores!$C$6:$C$65,MATCH($A127,Consultores!$A$6:$A$65,0)),IF(_xlpm.horas=0,"",IFERROR(_xlpm.horas/_xlpm.capacidad,"")))</f>
        <v/>
      </c>
      <c r="S127" s="34">
        <f>_xlfn.LET(_xlpm.horas,M127,_xlpm.feriados,IF($H127="CO",FER_CO,FER_EC),_xlpm.capacidad,NETWORKDAYS(M$3,M$4,_xlpm.feriados)*INDEX(Consultores!$C$6:$C$65,MATCH($A127,Consultores!$A$6:$A$65,0)),IF(_xlpm.horas=0,"",IFERROR(_xlpm.horas/_xlpm.capacidad,"")))</f>
        <v/>
      </c>
      <c r="T127" s="34">
        <f>_xlfn.LET(_xlpm.horas,N127,_xlpm.feriados,IF($H127="CO",FER_CO,FER_EC),_xlpm.capacidad,NETWORKDAYS(N$3,N$4,_xlpm.feriados)*INDEX(Consultores!$C$6:$C$65,MATCH($A127,Consultores!$A$6:$A$65,0)),IF(_xlpm.horas=0,"",IFERROR(_xlpm.horas/_xlpm.capacidad,"")))</f>
        <v/>
      </c>
      <c r="U127" s="34">
        <f>_xlfn.LET(_xlpm.horas,O127,_xlpm.feriados,IF($H127="CO",FER_CO,FER_EC),_xlpm.capacidad,NETWORKDAYS(O$3,O$4,_xlpm.feriados)*INDEX(Consultores!$C$6:$C$65,MATCH($A127,Consultores!$A$6:$A$65,0)),IF(_xlpm.horas=0,"",IFERROR(_xlpm.horas/_xlpm.capacidad,"")))</f>
        <v/>
      </c>
    </row>
    <row r="128">
      <c r="A128" s="25" t="n"/>
      <c r="B128" s="25" t="n"/>
      <c r="C128" s="25" t="n"/>
      <c r="D128" s="30" t="n"/>
      <c r="E128" s="30" t="n"/>
      <c r="F128" s="26" t="n"/>
      <c r="G128" s="25" t="n"/>
      <c r="H128" s="31">
        <f>IF($A128="","",IFERROR(INDEX(Consultores!$B$6:$B$65,MATCH($A128,Consultores!$A$6:$A$65,0)),"No existe"))</f>
        <v/>
      </c>
      <c r="I128" s="32">
        <f>IF($F128="",0,$F128/5)</f>
        <v/>
      </c>
      <c r="J128" s="33">
        <f>_xlfn.LET(_xlpm.inicio,MAX($D128,J$3),_xlpm.fin,MIN($E128,J$4),_xlpm.feriados,IF($H128="CO",FER_CO,FER_EC),_xlpm.dias,IF(_xlpm.inicio&gt;_xlpm.fin,0,NETWORKDAYS(_xlpm.inicio,_xlpm.fin,_xlpm.feriados)),_xlpm.factor,IF($G128="Probable",IF(Parametros!$B$6="Sí",1,0),1),IF(OR($A128="",$D128="",$E128=""),0,_xlpm.dias*$I128*_xlpm.factor))</f>
        <v/>
      </c>
      <c r="K128" s="33">
        <f>_xlfn.LET(_xlpm.inicio,MAX($D128,K$3),_xlpm.fin,MIN($E128,K$4),_xlpm.feriados,IF($H128="CO",FER_CO,FER_EC),_xlpm.dias,IF(_xlpm.inicio&gt;_xlpm.fin,0,NETWORKDAYS(_xlpm.inicio,_xlpm.fin,_xlpm.feriados)),_xlpm.factor,IF($G128="Probable",IF(Parametros!$B$6="Sí",1,0),1),IF(OR($A128="",$D128="",$E128=""),0,_xlpm.dias*$I128*_xlpm.factor))</f>
        <v/>
      </c>
      <c r="L128" s="33">
        <f>_xlfn.LET(_xlpm.inicio,MAX($D128,L$3),_xlpm.fin,MIN($E128,L$4),_xlpm.feriados,IF($H128="CO",FER_CO,FER_EC),_xlpm.dias,IF(_xlpm.inicio&gt;_xlpm.fin,0,NETWORKDAYS(_xlpm.inicio,_xlpm.fin,_xlpm.feriados)),_xlpm.factor,IF($G128="Probable",IF(Parametros!$B$6="Sí",1,0),1),IF(OR($A128="",$D128="",$E128=""),0,_xlpm.dias*$I128*_xlpm.factor))</f>
        <v/>
      </c>
      <c r="M128" s="33">
        <f>_xlfn.LET(_xlpm.inicio,MAX($D128,M$3),_xlpm.fin,MIN($E128,M$4),_xlpm.feriados,IF($H128="CO",FER_CO,FER_EC),_xlpm.dias,IF(_xlpm.inicio&gt;_xlpm.fin,0,NETWORKDAYS(_xlpm.inicio,_xlpm.fin,_xlpm.feriados)),_xlpm.factor,IF($G128="Probable",IF(Parametros!$B$6="Sí",1,0),1),IF(OR($A128="",$D128="",$E128=""),0,_xlpm.dias*$I128*_xlpm.factor))</f>
        <v/>
      </c>
      <c r="N128" s="33">
        <f>_xlfn.LET(_xlpm.inicio,MAX($D128,N$3),_xlpm.fin,MIN($E128,N$4),_xlpm.feriados,IF($H128="CO",FER_CO,FER_EC),_xlpm.dias,IF(_xlpm.inicio&gt;_xlpm.fin,0,NETWORKDAYS(_xlpm.inicio,_xlpm.fin,_xlpm.feriados)),_xlpm.factor,IF($G128="Probable",IF(Parametros!$B$6="Sí",1,0),1),IF(OR($A128="",$D128="",$E128=""),0,_xlpm.dias*$I128*_xlpm.factor))</f>
        <v/>
      </c>
      <c r="O128" s="33">
        <f>_xlfn.LET(_xlpm.inicio,MAX($D128,O$3),_xlpm.fin,MIN($E128,O$4),_xlpm.feriados,IF($H128="CO",FER_CO,FER_EC),_xlpm.dias,IF(_xlpm.inicio&gt;_xlpm.fin,0,NETWORKDAYS(_xlpm.inicio,_xlpm.fin,_xlpm.feriados)),_xlpm.factor,IF($G128="Probable",IF(Parametros!$B$6="Sí",1,0),1),IF(OR($A128="",$D128="",$E128=""),0,_xlpm.dias*$I128*_xlpm.factor))</f>
        <v/>
      </c>
      <c r="P128" s="34">
        <f>_xlfn.LET(_xlpm.horas,J128,_xlpm.feriados,IF($H128="CO",FER_CO,FER_EC),_xlpm.capacidad,NETWORKDAYS(J$3,J$4,_xlpm.feriados)*INDEX(Consultores!$C$6:$C$65,MATCH($A128,Consultores!$A$6:$A$65,0)),IF(_xlpm.horas=0,"",IFERROR(_xlpm.horas/_xlpm.capacidad,"")))</f>
        <v/>
      </c>
      <c r="Q128" s="34">
        <f>_xlfn.LET(_xlpm.horas,K128,_xlpm.feriados,IF($H128="CO",FER_CO,FER_EC),_xlpm.capacidad,NETWORKDAYS(K$3,K$4,_xlpm.feriados)*INDEX(Consultores!$C$6:$C$65,MATCH($A128,Consultores!$A$6:$A$65,0)),IF(_xlpm.horas=0,"",IFERROR(_xlpm.horas/_xlpm.capacidad,"")))</f>
        <v/>
      </c>
      <c r="R128" s="34">
        <f>_xlfn.LET(_xlpm.horas,L128,_xlpm.feriados,IF($H128="CO",FER_CO,FER_EC),_xlpm.capacidad,NETWORKDAYS(L$3,L$4,_xlpm.feriados)*INDEX(Consultores!$C$6:$C$65,MATCH($A128,Consultores!$A$6:$A$65,0)),IF(_xlpm.horas=0,"",IFERROR(_xlpm.horas/_xlpm.capacidad,"")))</f>
        <v/>
      </c>
      <c r="S128" s="34">
        <f>_xlfn.LET(_xlpm.horas,M128,_xlpm.feriados,IF($H128="CO",FER_CO,FER_EC),_xlpm.capacidad,NETWORKDAYS(M$3,M$4,_xlpm.feriados)*INDEX(Consultores!$C$6:$C$65,MATCH($A128,Consultores!$A$6:$A$65,0)),IF(_xlpm.horas=0,"",IFERROR(_xlpm.horas/_xlpm.capacidad,"")))</f>
        <v/>
      </c>
      <c r="T128" s="34">
        <f>_xlfn.LET(_xlpm.horas,N128,_xlpm.feriados,IF($H128="CO",FER_CO,FER_EC),_xlpm.capacidad,NETWORKDAYS(N$3,N$4,_xlpm.feriados)*INDEX(Consultores!$C$6:$C$65,MATCH($A128,Consultores!$A$6:$A$65,0)),IF(_xlpm.horas=0,"",IFERROR(_xlpm.horas/_xlpm.capacidad,"")))</f>
        <v/>
      </c>
      <c r="U128" s="34">
        <f>_xlfn.LET(_xlpm.horas,O128,_xlpm.feriados,IF($H128="CO",FER_CO,FER_EC),_xlpm.capacidad,NETWORKDAYS(O$3,O$4,_xlpm.feriados)*INDEX(Consultores!$C$6:$C$65,MATCH($A128,Consultores!$A$6:$A$65,0)),IF(_xlpm.horas=0,"",IFERROR(_xlpm.horas/_xlpm.capacidad,"")))</f>
        <v/>
      </c>
    </row>
    <row r="129">
      <c r="A129" s="25" t="n"/>
      <c r="B129" s="25" t="n"/>
      <c r="C129" s="25" t="n"/>
      <c r="D129" s="30" t="n"/>
      <c r="E129" s="30" t="n"/>
      <c r="F129" s="26" t="n"/>
      <c r="G129" s="25" t="n"/>
      <c r="H129" s="31">
        <f>IF($A129="","",IFERROR(INDEX(Consultores!$B$6:$B$65,MATCH($A129,Consultores!$A$6:$A$65,0)),"No existe"))</f>
        <v/>
      </c>
      <c r="I129" s="32">
        <f>IF($F129="",0,$F129/5)</f>
        <v/>
      </c>
      <c r="J129" s="33">
        <f>_xlfn.LET(_xlpm.inicio,MAX($D129,J$3),_xlpm.fin,MIN($E129,J$4),_xlpm.feriados,IF($H129="CO",FER_CO,FER_EC),_xlpm.dias,IF(_xlpm.inicio&gt;_xlpm.fin,0,NETWORKDAYS(_xlpm.inicio,_xlpm.fin,_xlpm.feriados)),_xlpm.factor,IF($G129="Probable",IF(Parametros!$B$6="Sí",1,0),1),IF(OR($A129="",$D129="",$E129=""),0,_xlpm.dias*$I129*_xlpm.factor))</f>
        <v/>
      </c>
      <c r="K129" s="33">
        <f>_xlfn.LET(_xlpm.inicio,MAX($D129,K$3),_xlpm.fin,MIN($E129,K$4),_xlpm.feriados,IF($H129="CO",FER_CO,FER_EC),_xlpm.dias,IF(_xlpm.inicio&gt;_xlpm.fin,0,NETWORKDAYS(_xlpm.inicio,_xlpm.fin,_xlpm.feriados)),_xlpm.factor,IF($G129="Probable",IF(Parametros!$B$6="Sí",1,0),1),IF(OR($A129="",$D129="",$E129=""),0,_xlpm.dias*$I129*_xlpm.factor))</f>
        <v/>
      </c>
      <c r="L129" s="33">
        <f>_xlfn.LET(_xlpm.inicio,MAX($D129,L$3),_xlpm.fin,MIN($E129,L$4),_xlpm.feriados,IF($H129="CO",FER_CO,FER_EC),_xlpm.dias,IF(_xlpm.inicio&gt;_xlpm.fin,0,NETWORKDAYS(_xlpm.inicio,_xlpm.fin,_xlpm.feriados)),_xlpm.factor,IF($G129="Probable",IF(Parametros!$B$6="Sí",1,0),1),IF(OR($A129="",$D129="",$E129=""),0,_xlpm.dias*$I129*_xlpm.factor))</f>
        <v/>
      </c>
      <c r="M129" s="33">
        <f>_xlfn.LET(_xlpm.inicio,MAX($D129,M$3),_xlpm.fin,MIN($E129,M$4),_xlpm.feriados,IF($H129="CO",FER_CO,FER_EC),_xlpm.dias,IF(_xlpm.inicio&gt;_xlpm.fin,0,NETWORKDAYS(_xlpm.inicio,_xlpm.fin,_xlpm.feriados)),_xlpm.factor,IF($G129="Probable",IF(Parametros!$B$6="Sí",1,0),1),IF(OR($A129="",$D129="",$E129=""),0,_xlpm.dias*$I129*_xlpm.factor))</f>
        <v/>
      </c>
      <c r="N129" s="33">
        <f>_xlfn.LET(_xlpm.inicio,MAX($D129,N$3),_xlpm.fin,MIN($E129,N$4),_xlpm.feriados,IF($H129="CO",FER_CO,FER_EC),_xlpm.dias,IF(_xlpm.inicio&gt;_xlpm.fin,0,NETWORKDAYS(_xlpm.inicio,_xlpm.fin,_xlpm.feriados)),_xlpm.factor,IF($G129="Probable",IF(Parametros!$B$6="Sí",1,0),1),IF(OR($A129="",$D129="",$E129=""),0,_xlpm.dias*$I129*_xlpm.factor))</f>
        <v/>
      </c>
      <c r="O129" s="33">
        <f>_xlfn.LET(_xlpm.inicio,MAX($D129,O$3),_xlpm.fin,MIN($E129,O$4),_xlpm.feriados,IF($H129="CO",FER_CO,FER_EC),_xlpm.dias,IF(_xlpm.inicio&gt;_xlpm.fin,0,NETWORKDAYS(_xlpm.inicio,_xlpm.fin,_xlpm.feriados)),_xlpm.factor,IF($G129="Probable",IF(Parametros!$B$6="Sí",1,0),1),IF(OR($A129="",$D129="",$E129=""),0,_xlpm.dias*$I129*_xlpm.factor))</f>
        <v/>
      </c>
      <c r="P129" s="34">
        <f>_xlfn.LET(_xlpm.horas,J129,_xlpm.feriados,IF($H129="CO",FER_CO,FER_EC),_xlpm.capacidad,NETWORKDAYS(J$3,J$4,_xlpm.feriados)*INDEX(Consultores!$C$6:$C$65,MATCH($A129,Consultores!$A$6:$A$65,0)),IF(_xlpm.horas=0,"",IFERROR(_xlpm.horas/_xlpm.capacidad,"")))</f>
        <v/>
      </c>
      <c r="Q129" s="34">
        <f>_xlfn.LET(_xlpm.horas,K129,_xlpm.feriados,IF($H129="CO",FER_CO,FER_EC),_xlpm.capacidad,NETWORKDAYS(K$3,K$4,_xlpm.feriados)*INDEX(Consultores!$C$6:$C$65,MATCH($A129,Consultores!$A$6:$A$65,0)),IF(_xlpm.horas=0,"",IFERROR(_xlpm.horas/_xlpm.capacidad,"")))</f>
        <v/>
      </c>
      <c r="R129" s="34">
        <f>_xlfn.LET(_xlpm.horas,L129,_xlpm.feriados,IF($H129="CO",FER_CO,FER_EC),_xlpm.capacidad,NETWORKDAYS(L$3,L$4,_xlpm.feriados)*INDEX(Consultores!$C$6:$C$65,MATCH($A129,Consultores!$A$6:$A$65,0)),IF(_xlpm.horas=0,"",IFERROR(_xlpm.horas/_xlpm.capacidad,"")))</f>
        <v/>
      </c>
      <c r="S129" s="34">
        <f>_xlfn.LET(_xlpm.horas,M129,_xlpm.feriados,IF($H129="CO",FER_CO,FER_EC),_xlpm.capacidad,NETWORKDAYS(M$3,M$4,_xlpm.feriados)*INDEX(Consultores!$C$6:$C$65,MATCH($A129,Consultores!$A$6:$A$65,0)),IF(_xlpm.horas=0,"",IFERROR(_xlpm.horas/_xlpm.capacidad,"")))</f>
        <v/>
      </c>
      <c r="T129" s="34">
        <f>_xlfn.LET(_xlpm.horas,N129,_xlpm.feriados,IF($H129="CO",FER_CO,FER_EC),_xlpm.capacidad,NETWORKDAYS(N$3,N$4,_xlpm.feriados)*INDEX(Consultores!$C$6:$C$65,MATCH($A129,Consultores!$A$6:$A$65,0)),IF(_xlpm.horas=0,"",IFERROR(_xlpm.horas/_xlpm.capacidad,"")))</f>
        <v/>
      </c>
      <c r="U129" s="34">
        <f>_xlfn.LET(_xlpm.horas,O129,_xlpm.feriados,IF($H129="CO",FER_CO,FER_EC),_xlpm.capacidad,NETWORKDAYS(O$3,O$4,_xlpm.feriados)*INDEX(Consultores!$C$6:$C$65,MATCH($A129,Consultores!$A$6:$A$65,0)),IF(_xlpm.horas=0,"",IFERROR(_xlpm.horas/_xlpm.capacidad,"")))</f>
        <v/>
      </c>
    </row>
    <row r="130">
      <c r="A130" s="25" t="n"/>
      <c r="B130" s="25" t="n"/>
      <c r="C130" s="25" t="n"/>
      <c r="D130" s="30" t="n"/>
      <c r="E130" s="30" t="n"/>
      <c r="F130" s="26" t="n"/>
      <c r="G130" s="25" t="n"/>
      <c r="H130" s="31">
        <f>IF($A130="","",IFERROR(INDEX(Consultores!$B$6:$B$65,MATCH($A130,Consultores!$A$6:$A$65,0)),"No existe"))</f>
        <v/>
      </c>
      <c r="I130" s="32">
        <f>IF($F130="",0,$F130/5)</f>
        <v/>
      </c>
      <c r="J130" s="33">
        <f>_xlfn.LET(_xlpm.inicio,MAX($D130,J$3),_xlpm.fin,MIN($E130,J$4),_xlpm.feriados,IF($H130="CO",FER_CO,FER_EC),_xlpm.dias,IF(_xlpm.inicio&gt;_xlpm.fin,0,NETWORKDAYS(_xlpm.inicio,_xlpm.fin,_xlpm.feriados)),_xlpm.factor,IF($G130="Probable",IF(Parametros!$B$6="Sí",1,0),1),IF(OR($A130="",$D130="",$E130=""),0,_xlpm.dias*$I130*_xlpm.factor))</f>
        <v/>
      </c>
      <c r="K130" s="33">
        <f>_xlfn.LET(_xlpm.inicio,MAX($D130,K$3),_xlpm.fin,MIN($E130,K$4),_xlpm.feriados,IF($H130="CO",FER_CO,FER_EC),_xlpm.dias,IF(_xlpm.inicio&gt;_xlpm.fin,0,NETWORKDAYS(_xlpm.inicio,_xlpm.fin,_xlpm.feriados)),_xlpm.factor,IF($G130="Probable",IF(Parametros!$B$6="Sí",1,0),1),IF(OR($A130="",$D130="",$E130=""),0,_xlpm.dias*$I130*_xlpm.factor))</f>
        <v/>
      </c>
      <c r="L130" s="33">
        <f>_xlfn.LET(_xlpm.inicio,MAX($D130,L$3),_xlpm.fin,MIN($E130,L$4),_xlpm.feriados,IF($H130="CO",FER_CO,FER_EC),_xlpm.dias,IF(_xlpm.inicio&gt;_xlpm.fin,0,NETWORKDAYS(_xlpm.inicio,_xlpm.fin,_xlpm.feriados)),_xlpm.factor,IF($G130="Probable",IF(Parametros!$B$6="Sí",1,0),1),IF(OR($A130="",$D130="",$E130=""),0,_xlpm.dias*$I130*_xlpm.factor))</f>
        <v/>
      </c>
      <c r="M130" s="33">
        <f>_xlfn.LET(_xlpm.inicio,MAX($D130,M$3),_xlpm.fin,MIN($E130,M$4),_xlpm.feriados,IF($H130="CO",FER_CO,FER_EC),_xlpm.dias,IF(_xlpm.inicio&gt;_xlpm.fin,0,NETWORKDAYS(_xlpm.inicio,_xlpm.fin,_xlpm.feriados)),_xlpm.factor,IF($G130="Probable",IF(Parametros!$B$6="Sí",1,0),1),IF(OR($A130="",$D130="",$E130=""),0,_xlpm.dias*$I130*_xlpm.factor))</f>
        <v/>
      </c>
      <c r="N130" s="33">
        <f>_xlfn.LET(_xlpm.inicio,MAX($D130,N$3),_xlpm.fin,MIN($E130,N$4),_xlpm.feriados,IF($H130="CO",FER_CO,FER_EC),_xlpm.dias,IF(_xlpm.inicio&gt;_xlpm.fin,0,NETWORKDAYS(_xlpm.inicio,_xlpm.fin,_xlpm.feriados)),_xlpm.factor,IF($G130="Probable",IF(Parametros!$B$6="Sí",1,0),1),IF(OR($A130="",$D130="",$E130=""),0,_xlpm.dias*$I130*_xlpm.factor))</f>
        <v/>
      </c>
      <c r="O130" s="33">
        <f>_xlfn.LET(_xlpm.inicio,MAX($D130,O$3),_xlpm.fin,MIN($E130,O$4),_xlpm.feriados,IF($H130="CO",FER_CO,FER_EC),_xlpm.dias,IF(_xlpm.inicio&gt;_xlpm.fin,0,NETWORKDAYS(_xlpm.inicio,_xlpm.fin,_xlpm.feriados)),_xlpm.factor,IF($G130="Probable",IF(Parametros!$B$6="Sí",1,0),1),IF(OR($A130="",$D130="",$E130=""),0,_xlpm.dias*$I130*_xlpm.factor))</f>
        <v/>
      </c>
      <c r="P130" s="34">
        <f>_xlfn.LET(_xlpm.horas,J130,_xlpm.feriados,IF($H130="CO",FER_CO,FER_EC),_xlpm.capacidad,NETWORKDAYS(J$3,J$4,_xlpm.feriados)*INDEX(Consultores!$C$6:$C$65,MATCH($A130,Consultores!$A$6:$A$65,0)),IF(_xlpm.horas=0,"",IFERROR(_xlpm.horas/_xlpm.capacidad,"")))</f>
        <v/>
      </c>
      <c r="Q130" s="34">
        <f>_xlfn.LET(_xlpm.horas,K130,_xlpm.feriados,IF($H130="CO",FER_CO,FER_EC),_xlpm.capacidad,NETWORKDAYS(K$3,K$4,_xlpm.feriados)*INDEX(Consultores!$C$6:$C$65,MATCH($A130,Consultores!$A$6:$A$65,0)),IF(_xlpm.horas=0,"",IFERROR(_xlpm.horas/_xlpm.capacidad,"")))</f>
        <v/>
      </c>
      <c r="R130" s="34">
        <f>_xlfn.LET(_xlpm.horas,L130,_xlpm.feriados,IF($H130="CO",FER_CO,FER_EC),_xlpm.capacidad,NETWORKDAYS(L$3,L$4,_xlpm.feriados)*INDEX(Consultores!$C$6:$C$65,MATCH($A130,Consultores!$A$6:$A$65,0)),IF(_xlpm.horas=0,"",IFERROR(_xlpm.horas/_xlpm.capacidad,"")))</f>
        <v/>
      </c>
      <c r="S130" s="34">
        <f>_xlfn.LET(_xlpm.horas,M130,_xlpm.feriados,IF($H130="CO",FER_CO,FER_EC),_xlpm.capacidad,NETWORKDAYS(M$3,M$4,_xlpm.feriados)*INDEX(Consultores!$C$6:$C$65,MATCH($A130,Consultores!$A$6:$A$65,0)),IF(_xlpm.horas=0,"",IFERROR(_xlpm.horas/_xlpm.capacidad,"")))</f>
        <v/>
      </c>
      <c r="T130" s="34">
        <f>_xlfn.LET(_xlpm.horas,N130,_xlpm.feriados,IF($H130="CO",FER_CO,FER_EC),_xlpm.capacidad,NETWORKDAYS(N$3,N$4,_xlpm.feriados)*INDEX(Consultores!$C$6:$C$65,MATCH($A130,Consultores!$A$6:$A$65,0)),IF(_xlpm.horas=0,"",IFERROR(_xlpm.horas/_xlpm.capacidad,"")))</f>
        <v/>
      </c>
      <c r="U130" s="34">
        <f>_xlfn.LET(_xlpm.horas,O130,_xlpm.feriados,IF($H130="CO",FER_CO,FER_EC),_xlpm.capacidad,NETWORKDAYS(O$3,O$4,_xlpm.feriados)*INDEX(Consultores!$C$6:$C$65,MATCH($A130,Consultores!$A$6:$A$65,0)),IF(_xlpm.horas=0,"",IFERROR(_xlpm.horas/_xlpm.capacidad,"")))</f>
        <v/>
      </c>
    </row>
    <row r="131">
      <c r="A131" s="25" t="n"/>
      <c r="B131" s="25" t="n"/>
      <c r="C131" s="25" t="n"/>
      <c r="D131" s="30" t="n"/>
      <c r="E131" s="30" t="n"/>
      <c r="F131" s="26" t="n"/>
      <c r="G131" s="25" t="n"/>
      <c r="H131" s="31">
        <f>IF($A131="","",IFERROR(INDEX(Consultores!$B$6:$B$65,MATCH($A131,Consultores!$A$6:$A$65,0)),"No existe"))</f>
        <v/>
      </c>
      <c r="I131" s="32">
        <f>IF($F131="",0,$F131/5)</f>
        <v/>
      </c>
      <c r="J131" s="33">
        <f>_xlfn.LET(_xlpm.inicio,MAX($D131,J$3),_xlpm.fin,MIN($E131,J$4),_xlpm.feriados,IF($H131="CO",FER_CO,FER_EC),_xlpm.dias,IF(_xlpm.inicio&gt;_xlpm.fin,0,NETWORKDAYS(_xlpm.inicio,_xlpm.fin,_xlpm.feriados)),_xlpm.factor,IF($G131="Probable",IF(Parametros!$B$6="Sí",1,0),1),IF(OR($A131="",$D131="",$E131=""),0,_xlpm.dias*$I131*_xlpm.factor))</f>
        <v/>
      </c>
      <c r="K131" s="33">
        <f>_xlfn.LET(_xlpm.inicio,MAX($D131,K$3),_xlpm.fin,MIN($E131,K$4),_xlpm.feriados,IF($H131="CO",FER_CO,FER_EC),_xlpm.dias,IF(_xlpm.inicio&gt;_xlpm.fin,0,NETWORKDAYS(_xlpm.inicio,_xlpm.fin,_xlpm.feriados)),_xlpm.factor,IF($G131="Probable",IF(Parametros!$B$6="Sí",1,0),1),IF(OR($A131="",$D131="",$E131=""),0,_xlpm.dias*$I131*_xlpm.factor))</f>
        <v/>
      </c>
      <c r="L131" s="33">
        <f>_xlfn.LET(_xlpm.inicio,MAX($D131,L$3),_xlpm.fin,MIN($E131,L$4),_xlpm.feriados,IF($H131="CO",FER_CO,FER_EC),_xlpm.dias,IF(_xlpm.inicio&gt;_xlpm.fin,0,NETWORKDAYS(_xlpm.inicio,_xlpm.fin,_xlpm.feriados)),_xlpm.factor,IF($G131="Probable",IF(Parametros!$B$6="Sí",1,0),1),IF(OR($A131="",$D131="",$E131=""),0,_xlpm.dias*$I131*_xlpm.factor))</f>
        <v/>
      </c>
      <c r="M131" s="33">
        <f>_xlfn.LET(_xlpm.inicio,MAX($D131,M$3),_xlpm.fin,MIN($E131,M$4),_xlpm.feriados,IF($H131="CO",FER_CO,FER_EC),_xlpm.dias,IF(_xlpm.inicio&gt;_xlpm.fin,0,NETWORKDAYS(_xlpm.inicio,_xlpm.fin,_xlpm.feriados)),_xlpm.factor,IF($G131="Probable",IF(Parametros!$B$6="Sí",1,0),1),IF(OR($A131="",$D131="",$E131=""),0,_xlpm.dias*$I131*_xlpm.factor))</f>
        <v/>
      </c>
      <c r="N131" s="33">
        <f>_xlfn.LET(_xlpm.inicio,MAX($D131,N$3),_xlpm.fin,MIN($E131,N$4),_xlpm.feriados,IF($H131="CO",FER_CO,FER_EC),_xlpm.dias,IF(_xlpm.inicio&gt;_xlpm.fin,0,NETWORKDAYS(_xlpm.inicio,_xlpm.fin,_xlpm.feriados)),_xlpm.factor,IF($G131="Probable",IF(Parametros!$B$6="Sí",1,0),1),IF(OR($A131="",$D131="",$E131=""),0,_xlpm.dias*$I131*_xlpm.factor))</f>
        <v/>
      </c>
      <c r="O131" s="33">
        <f>_xlfn.LET(_xlpm.inicio,MAX($D131,O$3),_xlpm.fin,MIN($E131,O$4),_xlpm.feriados,IF($H131="CO",FER_CO,FER_EC),_xlpm.dias,IF(_xlpm.inicio&gt;_xlpm.fin,0,NETWORKDAYS(_xlpm.inicio,_xlpm.fin,_xlpm.feriados)),_xlpm.factor,IF($G131="Probable",IF(Parametros!$B$6="Sí",1,0),1),IF(OR($A131="",$D131="",$E131=""),0,_xlpm.dias*$I131*_xlpm.factor))</f>
        <v/>
      </c>
      <c r="P131" s="34">
        <f>_xlfn.LET(_xlpm.horas,J131,_xlpm.feriados,IF($H131="CO",FER_CO,FER_EC),_xlpm.capacidad,NETWORKDAYS(J$3,J$4,_xlpm.feriados)*INDEX(Consultores!$C$6:$C$65,MATCH($A131,Consultores!$A$6:$A$65,0)),IF(_xlpm.horas=0,"",IFERROR(_xlpm.horas/_xlpm.capacidad,"")))</f>
        <v/>
      </c>
      <c r="Q131" s="34">
        <f>_xlfn.LET(_xlpm.horas,K131,_xlpm.feriados,IF($H131="CO",FER_CO,FER_EC),_xlpm.capacidad,NETWORKDAYS(K$3,K$4,_xlpm.feriados)*INDEX(Consultores!$C$6:$C$65,MATCH($A131,Consultores!$A$6:$A$65,0)),IF(_xlpm.horas=0,"",IFERROR(_xlpm.horas/_xlpm.capacidad,"")))</f>
        <v/>
      </c>
      <c r="R131" s="34">
        <f>_xlfn.LET(_xlpm.horas,L131,_xlpm.feriados,IF($H131="CO",FER_CO,FER_EC),_xlpm.capacidad,NETWORKDAYS(L$3,L$4,_xlpm.feriados)*INDEX(Consultores!$C$6:$C$65,MATCH($A131,Consultores!$A$6:$A$65,0)),IF(_xlpm.horas=0,"",IFERROR(_xlpm.horas/_xlpm.capacidad,"")))</f>
        <v/>
      </c>
      <c r="S131" s="34">
        <f>_xlfn.LET(_xlpm.horas,M131,_xlpm.feriados,IF($H131="CO",FER_CO,FER_EC),_xlpm.capacidad,NETWORKDAYS(M$3,M$4,_xlpm.feriados)*INDEX(Consultores!$C$6:$C$65,MATCH($A131,Consultores!$A$6:$A$65,0)),IF(_xlpm.horas=0,"",IFERROR(_xlpm.horas/_xlpm.capacidad,"")))</f>
        <v/>
      </c>
      <c r="T131" s="34">
        <f>_xlfn.LET(_xlpm.horas,N131,_xlpm.feriados,IF($H131="CO",FER_CO,FER_EC),_xlpm.capacidad,NETWORKDAYS(N$3,N$4,_xlpm.feriados)*INDEX(Consultores!$C$6:$C$65,MATCH($A131,Consultores!$A$6:$A$65,0)),IF(_xlpm.horas=0,"",IFERROR(_xlpm.horas/_xlpm.capacidad,"")))</f>
        <v/>
      </c>
      <c r="U131" s="34">
        <f>_xlfn.LET(_xlpm.horas,O131,_xlpm.feriados,IF($H131="CO",FER_CO,FER_EC),_xlpm.capacidad,NETWORKDAYS(O$3,O$4,_xlpm.feriados)*INDEX(Consultores!$C$6:$C$65,MATCH($A131,Consultores!$A$6:$A$65,0)),IF(_xlpm.horas=0,"",IFERROR(_xlpm.horas/_xlpm.capacidad,"")))</f>
        <v/>
      </c>
    </row>
    <row r="132">
      <c r="A132" s="25" t="n"/>
      <c r="B132" s="25" t="n"/>
      <c r="C132" s="25" t="n"/>
      <c r="D132" s="30" t="n"/>
      <c r="E132" s="30" t="n"/>
      <c r="F132" s="26" t="n"/>
      <c r="G132" s="25" t="n"/>
      <c r="H132" s="31">
        <f>IF($A132="","",IFERROR(INDEX(Consultores!$B$6:$B$65,MATCH($A132,Consultores!$A$6:$A$65,0)),"No existe"))</f>
        <v/>
      </c>
      <c r="I132" s="32">
        <f>IF($F132="",0,$F132/5)</f>
        <v/>
      </c>
      <c r="J132" s="33">
        <f>_xlfn.LET(_xlpm.inicio,MAX($D132,J$3),_xlpm.fin,MIN($E132,J$4),_xlpm.feriados,IF($H132="CO",FER_CO,FER_EC),_xlpm.dias,IF(_xlpm.inicio&gt;_xlpm.fin,0,NETWORKDAYS(_xlpm.inicio,_xlpm.fin,_xlpm.feriados)),_xlpm.factor,IF($G132="Probable",IF(Parametros!$B$6="Sí",1,0),1),IF(OR($A132="",$D132="",$E132=""),0,_xlpm.dias*$I132*_xlpm.factor))</f>
        <v/>
      </c>
      <c r="K132" s="33">
        <f>_xlfn.LET(_xlpm.inicio,MAX($D132,K$3),_xlpm.fin,MIN($E132,K$4),_xlpm.feriados,IF($H132="CO",FER_CO,FER_EC),_xlpm.dias,IF(_xlpm.inicio&gt;_xlpm.fin,0,NETWORKDAYS(_xlpm.inicio,_xlpm.fin,_xlpm.feriados)),_xlpm.factor,IF($G132="Probable",IF(Parametros!$B$6="Sí",1,0),1),IF(OR($A132="",$D132="",$E132=""),0,_xlpm.dias*$I132*_xlpm.factor))</f>
        <v/>
      </c>
      <c r="L132" s="33">
        <f>_xlfn.LET(_xlpm.inicio,MAX($D132,L$3),_xlpm.fin,MIN($E132,L$4),_xlpm.feriados,IF($H132="CO",FER_CO,FER_EC),_xlpm.dias,IF(_xlpm.inicio&gt;_xlpm.fin,0,NETWORKDAYS(_xlpm.inicio,_xlpm.fin,_xlpm.feriados)),_xlpm.factor,IF($G132="Probable",IF(Parametros!$B$6="Sí",1,0),1),IF(OR($A132="",$D132="",$E132=""),0,_xlpm.dias*$I132*_xlpm.factor))</f>
        <v/>
      </c>
      <c r="M132" s="33">
        <f>_xlfn.LET(_xlpm.inicio,MAX($D132,M$3),_xlpm.fin,MIN($E132,M$4),_xlpm.feriados,IF($H132="CO",FER_CO,FER_EC),_xlpm.dias,IF(_xlpm.inicio&gt;_xlpm.fin,0,NETWORKDAYS(_xlpm.inicio,_xlpm.fin,_xlpm.feriados)),_xlpm.factor,IF($G132="Probable",IF(Parametros!$B$6="Sí",1,0),1),IF(OR($A132="",$D132="",$E132=""),0,_xlpm.dias*$I132*_xlpm.factor))</f>
        <v/>
      </c>
      <c r="N132" s="33">
        <f>_xlfn.LET(_xlpm.inicio,MAX($D132,N$3),_xlpm.fin,MIN($E132,N$4),_xlpm.feriados,IF($H132="CO",FER_CO,FER_EC),_xlpm.dias,IF(_xlpm.inicio&gt;_xlpm.fin,0,NETWORKDAYS(_xlpm.inicio,_xlpm.fin,_xlpm.feriados)),_xlpm.factor,IF($G132="Probable",IF(Parametros!$B$6="Sí",1,0),1),IF(OR($A132="",$D132="",$E132=""),0,_xlpm.dias*$I132*_xlpm.factor))</f>
        <v/>
      </c>
      <c r="O132" s="33">
        <f>_xlfn.LET(_xlpm.inicio,MAX($D132,O$3),_xlpm.fin,MIN($E132,O$4),_xlpm.feriados,IF($H132="CO",FER_CO,FER_EC),_xlpm.dias,IF(_xlpm.inicio&gt;_xlpm.fin,0,NETWORKDAYS(_xlpm.inicio,_xlpm.fin,_xlpm.feriados)),_xlpm.factor,IF($G132="Probable",IF(Parametros!$B$6="Sí",1,0),1),IF(OR($A132="",$D132="",$E132=""),0,_xlpm.dias*$I132*_xlpm.factor))</f>
        <v/>
      </c>
      <c r="P132" s="34">
        <f>_xlfn.LET(_xlpm.horas,J132,_xlpm.feriados,IF($H132="CO",FER_CO,FER_EC),_xlpm.capacidad,NETWORKDAYS(J$3,J$4,_xlpm.feriados)*INDEX(Consultores!$C$6:$C$65,MATCH($A132,Consultores!$A$6:$A$65,0)),IF(_xlpm.horas=0,"",IFERROR(_xlpm.horas/_xlpm.capacidad,"")))</f>
        <v/>
      </c>
      <c r="Q132" s="34">
        <f>_xlfn.LET(_xlpm.horas,K132,_xlpm.feriados,IF($H132="CO",FER_CO,FER_EC),_xlpm.capacidad,NETWORKDAYS(K$3,K$4,_xlpm.feriados)*INDEX(Consultores!$C$6:$C$65,MATCH($A132,Consultores!$A$6:$A$65,0)),IF(_xlpm.horas=0,"",IFERROR(_xlpm.horas/_xlpm.capacidad,"")))</f>
        <v/>
      </c>
      <c r="R132" s="34">
        <f>_xlfn.LET(_xlpm.horas,L132,_xlpm.feriados,IF($H132="CO",FER_CO,FER_EC),_xlpm.capacidad,NETWORKDAYS(L$3,L$4,_xlpm.feriados)*INDEX(Consultores!$C$6:$C$65,MATCH($A132,Consultores!$A$6:$A$65,0)),IF(_xlpm.horas=0,"",IFERROR(_xlpm.horas/_xlpm.capacidad,"")))</f>
        <v/>
      </c>
      <c r="S132" s="34">
        <f>_xlfn.LET(_xlpm.horas,M132,_xlpm.feriados,IF($H132="CO",FER_CO,FER_EC),_xlpm.capacidad,NETWORKDAYS(M$3,M$4,_xlpm.feriados)*INDEX(Consultores!$C$6:$C$65,MATCH($A132,Consultores!$A$6:$A$65,0)),IF(_xlpm.horas=0,"",IFERROR(_xlpm.horas/_xlpm.capacidad,"")))</f>
        <v/>
      </c>
      <c r="T132" s="34">
        <f>_xlfn.LET(_xlpm.horas,N132,_xlpm.feriados,IF($H132="CO",FER_CO,FER_EC),_xlpm.capacidad,NETWORKDAYS(N$3,N$4,_xlpm.feriados)*INDEX(Consultores!$C$6:$C$65,MATCH($A132,Consultores!$A$6:$A$65,0)),IF(_xlpm.horas=0,"",IFERROR(_xlpm.horas/_xlpm.capacidad,"")))</f>
        <v/>
      </c>
      <c r="U132" s="34">
        <f>_xlfn.LET(_xlpm.horas,O132,_xlpm.feriados,IF($H132="CO",FER_CO,FER_EC),_xlpm.capacidad,NETWORKDAYS(O$3,O$4,_xlpm.feriados)*INDEX(Consultores!$C$6:$C$65,MATCH($A132,Consultores!$A$6:$A$65,0)),IF(_xlpm.horas=0,"",IFERROR(_xlpm.horas/_xlpm.capacidad,"")))</f>
        <v/>
      </c>
    </row>
    <row r="133">
      <c r="A133" s="25" t="n"/>
      <c r="B133" s="25" t="n"/>
      <c r="C133" s="25" t="n"/>
      <c r="D133" s="30" t="n"/>
      <c r="E133" s="30" t="n"/>
      <c r="F133" s="26" t="n"/>
      <c r="G133" s="25" t="n"/>
      <c r="H133" s="31">
        <f>IF($A133="","",IFERROR(INDEX(Consultores!$B$6:$B$65,MATCH($A133,Consultores!$A$6:$A$65,0)),"No existe"))</f>
        <v/>
      </c>
      <c r="I133" s="32">
        <f>IF($F133="",0,$F133/5)</f>
        <v/>
      </c>
      <c r="J133" s="33">
        <f>_xlfn.LET(_xlpm.inicio,MAX($D133,J$3),_xlpm.fin,MIN($E133,J$4),_xlpm.feriados,IF($H133="CO",FER_CO,FER_EC),_xlpm.dias,IF(_xlpm.inicio&gt;_xlpm.fin,0,NETWORKDAYS(_xlpm.inicio,_xlpm.fin,_xlpm.feriados)),_xlpm.factor,IF($G133="Probable",IF(Parametros!$B$6="Sí",1,0),1),IF(OR($A133="",$D133="",$E133=""),0,_xlpm.dias*$I133*_xlpm.factor))</f>
        <v/>
      </c>
      <c r="K133" s="33">
        <f>_xlfn.LET(_xlpm.inicio,MAX($D133,K$3),_xlpm.fin,MIN($E133,K$4),_xlpm.feriados,IF($H133="CO",FER_CO,FER_EC),_xlpm.dias,IF(_xlpm.inicio&gt;_xlpm.fin,0,NETWORKDAYS(_xlpm.inicio,_xlpm.fin,_xlpm.feriados)),_xlpm.factor,IF($G133="Probable",IF(Parametros!$B$6="Sí",1,0),1),IF(OR($A133="",$D133="",$E133=""),0,_xlpm.dias*$I133*_xlpm.factor))</f>
        <v/>
      </c>
      <c r="L133" s="33">
        <f>_xlfn.LET(_xlpm.inicio,MAX($D133,L$3),_xlpm.fin,MIN($E133,L$4),_xlpm.feriados,IF($H133="CO",FER_CO,FER_EC),_xlpm.dias,IF(_xlpm.inicio&gt;_xlpm.fin,0,NETWORKDAYS(_xlpm.inicio,_xlpm.fin,_xlpm.feriados)),_xlpm.factor,IF($G133="Probable",IF(Parametros!$B$6="Sí",1,0),1),IF(OR($A133="",$D133="",$E133=""),0,_xlpm.dias*$I133*_xlpm.factor))</f>
        <v/>
      </c>
      <c r="M133" s="33">
        <f>_xlfn.LET(_xlpm.inicio,MAX($D133,M$3),_xlpm.fin,MIN($E133,M$4),_xlpm.feriados,IF($H133="CO",FER_CO,FER_EC),_xlpm.dias,IF(_xlpm.inicio&gt;_xlpm.fin,0,NETWORKDAYS(_xlpm.inicio,_xlpm.fin,_xlpm.feriados)),_xlpm.factor,IF($G133="Probable",IF(Parametros!$B$6="Sí",1,0),1),IF(OR($A133="",$D133="",$E133=""),0,_xlpm.dias*$I133*_xlpm.factor))</f>
        <v/>
      </c>
      <c r="N133" s="33">
        <f>_xlfn.LET(_xlpm.inicio,MAX($D133,N$3),_xlpm.fin,MIN($E133,N$4),_xlpm.feriados,IF($H133="CO",FER_CO,FER_EC),_xlpm.dias,IF(_xlpm.inicio&gt;_xlpm.fin,0,NETWORKDAYS(_xlpm.inicio,_xlpm.fin,_xlpm.feriados)),_xlpm.factor,IF($G133="Probable",IF(Parametros!$B$6="Sí",1,0),1),IF(OR($A133="",$D133="",$E133=""),0,_xlpm.dias*$I133*_xlpm.factor))</f>
        <v/>
      </c>
      <c r="O133" s="33">
        <f>_xlfn.LET(_xlpm.inicio,MAX($D133,O$3),_xlpm.fin,MIN($E133,O$4),_xlpm.feriados,IF($H133="CO",FER_CO,FER_EC),_xlpm.dias,IF(_xlpm.inicio&gt;_xlpm.fin,0,NETWORKDAYS(_xlpm.inicio,_xlpm.fin,_xlpm.feriados)),_xlpm.factor,IF($G133="Probable",IF(Parametros!$B$6="Sí",1,0),1),IF(OR($A133="",$D133="",$E133=""),0,_xlpm.dias*$I133*_xlpm.factor))</f>
        <v/>
      </c>
      <c r="P133" s="34">
        <f>_xlfn.LET(_xlpm.horas,J133,_xlpm.feriados,IF($H133="CO",FER_CO,FER_EC),_xlpm.capacidad,NETWORKDAYS(J$3,J$4,_xlpm.feriados)*INDEX(Consultores!$C$6:$C$65,MATCH($A133,Consultores!$A$6:$A$65,0)),IF(_xlpm.horas=0,"",IFERROR(_xlpm.horas/_xlpm.capacidad,"")))</f>
        <v/>
      </c>
      <c r="Q133" s="34">
        <f>_xlfn.LET(_xlpm.horas,K133,_xlpm.feriados,IF($H133="CO",FER_CO,FER_EC),_xlpm.capacidad,NETWORKDAYS(K$3,K$4,_xlpm.feriados)*INDEX(Consultores!$C$6:$C$65,MATCH($A133,Consultores!$A$6:$A$65,0)),IF(_xlpm.horas=0,"",IFERROR(_xlpm.horas/_xlpm.capacidad,"")))</f>
        <v/>
      </c>
      <c r="R133" s="34">
        <f>_xlfn.LET(_xlpm.horas,L133,_xlpm.feriados,IF($H133="CO",FER_CO,FER_EC),_xlpm.capacidad,NETWORKDAYS(L$3,L$4,_xlpm.feriados)*INDEX(Consultores!$C$6:$C$65,MATCH($A133,Consultores!$A$6:$A$65,0)),IF(_xlpm.horas=0,"",IFERROR(_xlpm.horas/_xlpm.capacidad,"")))</f>
        <v/>
      </c>
      <c r="S133" s="34">
        <f>_xlfn.LET(_xlpm.horas,M133,_xlpm.feriados,IF($H133="CO",FER_CO,FER_EC),_xlpm.capacidad,NETWORKDAYS(M$3,M$4,_xlpm.feriados)*INDEX(Consultores!$C$6:$C$65,MATCH($A133,Consultores!$A$6:$A$65,0)),IF(_xlpm.horas=0,"",IFERROR(_xlpm.horas/_xlpm.capacidad,"")))</f>
        <v/>
      </c>
      <c r="T133" s="34">
        <f>_xlfn.LET(_xlpm.horas,N133,_xlpm.feriados,IF($H133="CO",FER_CO,FER_EC),_xlpm.capacidad,NETWORKDAYS(N$3,N$4,_xlpm.feriados)*INDEX(Consultores!$C$6:$C$65,MATCH($A133,Consultores!$A$6:$A$65,0)),IF(_xlpm.horas=0,"",IFERROR(_xlpm.horas/_xlpm.capacidad,"")))</f>
        <v/>
      </c>
      <c r="U133" s="34">
        <f>_xlfn.LET(_xlpm.horas,O133,_xlpm.feriados,IF($H133="CO",FER_CO,FER_EC),_xlpm.capacidad,NETWORKDAYS(O$3,O$4,_xlpm.feriados)*INDEX(Consultores!$C$6:$C$65,MATCH($A133,Consultores!$A$6:$A$65,0)),IF(_xlpm.horas=0,"",IFERROR(_xlpm.horas/_xlpm.capacidad,"")))</f>
        <v/>
      </c>
    </row>
    <row r="134">
      <c r="A134" s="25" t="n"/>
      <c r="B134" s="25" t="n"/>
      <c r="C134" s="25" t="n"/>
      <c r="D134" s="30" t="n"/>
      <c r="E134" s="30" t="n"/>
      <c r="F134" s="26" t="n"/>
      <c r="G134" s="25" t="n"/>
      <c r="H134" s="31">
        <f>IF($A134="","",IFERROR(INDEX(Consultores!$B$6:$B$65,MATCH($A134,Consultores!$A$6:$A$65,0)),"No existe"))</f>
        <v/>
      </c>
      <c r="I134" s="32">
        <f>IF($F134="",0,$F134/5)</f>
        <v/>
      </c>
      <c r="J134" s="33">
        <f>_xlfn.LET(_xlpm.inicio,MAX($D134,J$3),_xlpm.fin,MIN($E134,J$4),_xlpm.feriados,IF($H134="CO",FER_CO,FER_EC),_xlpm.dias,IF(_xlpm.inicio&gt;_xlpm.fin,0,NETWORKDAYS(_xlpm.inicio,_xlpm.fin,_xlpm.feriados)),_xlpm.factor,IF($G134="Probable",IF(Parametros!$B$6="Sí",1,0),1),IF(OR($A134="",$D134="",$E134=""),0,_xlpm.dias*$I134*_xlpm.factor))</f>
        <v/>
      </c>
      <c r="K134" s="33">
        <f>_xlfn.LET(_xlpm.inicio,MAX($D134,K$3),_xlpm.fin,MIN($E134,K$4),_xlpm.feriados,IF($H134="CO",FER_CO,FER_EC),_xlpm.dias,IF(_xlpm.inicio&gt;_xlpm.fin,0,NETWORKDAYS(_xlpm.inicio,_xlpm.fin,_xlpm.feriados)),_xlpm.factor,IF($G134="Probable",IF(Parametros!$B$6="Sí",1,0),1),IF(OR($A134="",$D134="",$E134=""),0,_xlpm.dias*$I134*_xlpm.factor))</f>
        <v/>
      </c>
      <c r="L134" s="33">
        <f>_xlfn.LET(_xlpm.inicio,MAX($D134,L$3),_xlpm.fin,MIN($E134,L$4),_xlpm.feriados,IF($H134="CO",FER_CO,FER_EC),_xlpm.dias,IF(_xlpm.inicio&gt;_xlpm.fin,0,NETWORKDAYS(_xlpm.inicio,_xlpm.fin,_xlpm.feriados)),_xlpm.factor,IF($G134="Probable",IF(Parametros!$B$6="Sí",1,0),1),IF(OR($A134="",$D134="",$E134=""),0,_xlpm.dias*$I134*_xlpm.factor))</f>
        <v/>
      </c>
      <c r="M134" s="33">
        <f>_xlfn.LET(_xlpm.inicio,MAX($D134,M$3),_xlpm.fin,MIN($E134,M$4),_xlpm.feriados,IF($H134="CO",FER_CO,FER_EC),_xlpm.dias,IF(_xlpm.inicio&gt;_xlpm.fin,0,NETWORKDAYS(_xlpm.inicio,_xlpm.fin,_xlpm.feriados)),_xlpm.factor,IF($G134="Probable",IF(Parametros!$B$6="Sí",1,0),1),IF(OR($A134="",$D134="",$E134=""),0,_xlpm.dias*$I134*_xlpm.factor))</f>
        <v/>
      </c>
      <c r="N134" s="33">
        <f>_xlfn.LET(_xlpm.inicio,MAX($D134,N$3),_xlpm.fin,MIN($E134,N$4),_xlpm.feriados,IF($H134="CO",FER_CO,FER_EC),_xlpm.dias,IF(_xlpm.inicio&gt;_xlpm.fin,0,NETWORKDAYS(_xlpm.inicio,_xlpm.fin,_xlpm.feriados)),_xlpm.factor,IF($G134="Probable",IF(Parametros!$B$6="Sí",1,0),1),IF(OR($A134="",$D134="",$E134=""),0,_xlpm.dias*$I134*_xlpm.factor))</f>
        <v/>
      </c>
      <c r="O134" s="33">
        <f>_xlfn.LET(_xlpm.inicio,MAX($D134,O$3),_xlpm.fin,MIN($E134,O$4),_xlpm.feriados,IF($H134="CO",FER_CO,FER_EC),_xlpm.dias,IF(_xlpm.inicio&gt;_xlpm.fin,0,NETWORKDAYS(_xlpm.inicio,_xlpm.fin,_xlpm.feriados)),_xlpm.factor,IF($G134="Probable",IF(Parametros!$B$6="Sí",1,0),1),IF(OR($A134="",$D134="",$E134=""),0,_xlpm.dias*$I134*_xlpm.factor))</f>
        <v/>
      </c>
      <c r="P134" s="34">
        <f>_xlfn.LET(_xlpm.horas,J134,_xlpm.feriados,IF($H134="CO",FER_CO,FER_EC),_xlpm.capacidad,NETWORKDAYS(J$3,J$4,_xlpm.feriados)*INDEX(Consultores!$C$6:$C$65,MATCH($A134,Consultores!$A$6:$A$65,0)),IF(_xlpm.horas=0,"",IFERROR(_xlpm.horas/_xlpm.capacidad,"")))</f>
        <v/>
      </c>
      <c r="Q134" s="34">
        <f>_xlfn.LET(_xlpm.horas,K134,_xlpm.feriados,IF($H134="CO",FER_CO,FER_EC),_xlpm.capacidad,NETWORKDAYS(K$3,K$4,_xlpm.feriados)*INDEX(Consultores!$C$6:$C$65,MATCH($A134,Consultores!$A$6:$A$65,0)),IF(_xlpm.horas=0,"",IFERROR(_xlpm.horas/_xlpm.capacidad,"")))</f>
        <v/>
      </c>
      <c r="R134" s="34">
        <f>_xlfn.LET(_xlpm.horas,L134,_xlpm.feriados,IF($H134="CO",FER_CO,FER_EC),_xlpm.capacidad,NETWORKDAYS(L$3,L$4,_xlpm.feriados)*INDEX(Consultores!$C$6:$C$65,MATCH($A134,Consultores!$A$6:$A$65,0)),IF(_xlpm.horas=0,"",IFERROR(_xlpm.horas/_xlpm.capacidad,"")))</f>
        <v/>
      </c>
      <c r="S134" s="34">
        <f>_xlfn.LET(_xlpm.horas,M134,_xlpm.feriados,IF($H134="CO",FER_CO,FER_EC),_xlpm.capacidad,NETWORKDAYS(M$3,M$4,_xlpm.feriados)*INDEX(Consultores!$C$6:$C$65,MATCH($A134,Consultores!$A$6:$A$65,0)),IF(_xlpm.horas=0,"",IFERROR(_xlpm.horas/_xlpm.capacidad,"")))</f>
        <v/>
      </c>
      <c r="T134" s="34">
        <f>_xlfn.LET(_xlpm.horas,N134,_xlpm.feriados,IF($H134="CO",FER_CO,FER_EC),_xlpm.capacidad,NETWORKDAYS(N$3,N$4,_xlpm.feriados)*INDEX(Consultores!$C$6:$C$65,MATCH($A134,Consultores!$A$6:$A$65,0)),IF(_xlpm.horas=0,"",IFERROR(_xlpm.horas/_xlpm.capacidad,"")))</f>
        <v/>
      </c>
      <c r="U134" s="34">
        <f>_xlfn.LET(_xlpm.horas,O134,_xlpm.feriados,IF($H134="CO",FER_CO,FER_EC),_xlpm.capacidad,NETWORKDAYS(O$3,O$4,_xlpm.feriados)*INDEX(Consultores!$C$6:$C$65,MATCH($A134,Consultores!$A$6:$A$65,0)),IF(_xlpm.horas=0,"",IFERROR(_xlpm.horas/_xlpm.capacidad,"")))</f>
        <v/>
      </c>
    </row>
    <row r="135">
      <c r="A135" s="25" t="n"/>
      <c r="B135" s="25" t="n"/>
      <c r="C135" s="25" t="n"/>
      <c r="D135" s="30" t="n"/>
      <c r="E135" s="30" t="n"/>
      <c r="F135" s="26" t="n"/>
      <c r="G135" s="25" t="n"/>
      <c r="H135" s="31">
        <f>IF($A135="","",IFERROR(INDEX(Consultores!$B$6:$B$65,MATCH($A135,Consultores!$A$6:$A$65,0)),"No existe"))</f>
        <v/>
      </c>
      <c r="I135" s="32">
        <f>IF($F135="",0,$F135/5)</f>
        <v/>
      </c>
      <c r="J135" s="33">
        <f>_xlfn.LET(_xlpm.inicio,MAX($D135,J$3),_xlpm.fin,MIN($E135,J$4),_xlpm.feriados,IF($H135="CO",FER_CO,FER_EC),_xlpm.dias,IF(_xlpm.inicio&gt;_xlpm.fin,0,NETWORKDAYS(_xlpm.inicio,_xlpm.fin,_xlpm.feriados)),_xlpm.factor,IF($G135="Probable",IF(Parametros!$B$6="Sí",1,0),1),IF(OR($A135="",$D135="",$E135=""),0,_xlpm.dias*$I135*_xlpm.factor))</f>
        <v/>
      </c>
      <c r="K135" s="33">
        <f>_xlfn.LET(_xlpm.inicio,MAX($D135,K$3),_xlpm.fin,MIN($E135,K$4),_xlpm.feriados,IF($H135="CO",FER_CO,FER_EC),_xlpm.dias,IF(_xlpm.inicio&gt;_xlpm.fin,0,NETWORKDAYS(_xlpm.inicio,_xlpm.fin,_xlpm.feriados)),_xlpm.factor,IF($G135="Probable",IF(Parametros!$B$6="Sí",1,0),1),IF(OR($A135="",$D135="",$E135=""),0,_xlpm.dias*$I135*_xlpm.factor))</f>
        <v/>
      </c>
      <c r="L135" s="33">
        <f>_xlfn.LET(_xlpm.inicio,MAX($D135,L$3),_xlpm.fin,MIN($E135,L$4),_xlpm.feriados,IF($H135="CO",FER_CO,FER_EC),_xlpm.dias,IF(_xlpm.inicio&gt;_xlpm.fin,0,NETWORKDAYS(_xlpm.inicio,_xlpm.fin,_xlpm.feriados)),_xlpm.factor,IF($G135="Probable",IF(Parametros!$B$6="Sí",1,0),1),IF(OR($A135="",$D135="",$E135=""),0,_xlpm.dias*$I135*_xlpm.factor))</f>
        <v/>
      </c>
      <c r="M135" s="33">
        <f>_xlfn.LET(_xlpm.inicio,MAX($D135,M$3),_xlpm.fin,MIN($E135,M$4),_xlpm.feriados,IF($H135="CO",FER_CO,FER_EC),_xlpm.dias,IF(_xlpm.inicio&gt;_xlpm.fin,0,NETWORKDAYS(_xlpm.inicio,_xlpm.fin,_xlpm.feriados)),_xlpm.factor,IF($G135="Probable",IF(Parametros!$B$6="Sí",1,0),1),IF(OR($A135="",$D135="",$E135=""),0,_xlpm.dias*$I135*_xlpm.factor))</f>
        <v/>
      </c>
      <c r="N135" s="33">
        <f>_xlfn.LET(_xlpm.inicio,MAX($D135,N$3),_xlpm.fin,MIN($E135,N$4),_xlpm.feriados,IF($H135="CO",FER_CO,FER_EC),_xlpm.dias,IF(_xlpm.inicio&gt;_xlpm.fin,0,NETWORKDAYS(_xlpm.inicio,_xlpm.fin,_xlpm.feriados)),_xlpm.factor,IF($G135="Probable",IF(Parametros!$B$6="Sí",1,0),1),IF(OR($A135="",$D135="",$E135=""),0,_xlpm.dias*$I135*_xlpm.factor))</f>
        <v/>
      </c>
      <c r="O135" s="33">
        <f>_xlfn.LET(_xlpm.inicio,MAX($D135,O$3),_xlpm.fin,MIN($E135,O$4),_xlpm.feriados,IF($H135="CO",FER_CO,FER_EC),_xlpm.dias,IF(_xlpm.inicio&gt;_xlpm.fin,0,NETWORKDAYS(_xlpm.inicio,_xlpm.fin,_xlpm.feriados)),_xlpm.factor,IF($G135="Probable",IF(Parametros!$B$6="Sí",1,0),1),IF(OR($A135="",$D135="",$E135=""),0,_xlpm.dias*$I135*_xlpm.factor))</f>
        <v/>
      </c>
      <c r="P135" s="34">
        <f>_xlfn.LET(_xlpm.horas,J135,_xlpm.feriados,IF($H135="CO",FER_CO,FER_EC),_xlpm.capacidad,NETWORKDAYS(J$3,J$4,_xlpm.feriados)*INDEX(Consultores!$C$6:$C$65,MATCH($A135,Consultores!$A$6:$A$65,0)),IF(_xlpm.horas=0,"",IFERROR(_xlpm.horas/_xlpm.capacidad,"")))</f>
        <v/>
      </c>
      <c r="Q135" s="34">
        <f>_xlfn.LET(_xlpm.horas,K135,_xlpm.feriados,IF($H135="CO",FER_CO,FER_EC),_xlpm.capacidad,NETWORKDAYS(K$3,K$4,_xlpm.feriados)*INDEX(Consultores!$C$6:$C$65,MATCH($A135,Consultores!$A$6:$A$65,0)),IF(_xlpm.horas=0,"",IFERROR(_xlpm.horas/_xlpm.capacidad,"")))</f>
        <v/>
      </c>
      <c r="R135" s="34">
        <f>_xlfn.LET(_xlpm.horas,L135,_xlpm.feriados,IF($H135="CO",FER_CO,FER_EC),_xlpm.capacidad,NETWORKDAYS(L$3,L$4,_xlpm.feriados)*INDEX(Consultores!$C$6:$C$65,MATCH($A135,Consultores!$A$6:$A$65,0)),IF(_xlpm.horas=0,"",IFERROR(_xlpm.horas/_xlpm.capacidad,"")))</f>
        <v/>
      </c>
      <c r="S135" s="34">
        <f>_xlfn.LET(_xlpm.horas,M135,_xlpm.feriados,IF($H135="CO",FER_CO,FER_EC),_xlpm.capacidad,NETWORKDAYS(M$3,M$4,_xlpm.feriados)*INDEX(Consultores!$C$6:$C$65,MATCH($A135,Consultores!$A$6:$A$65,0)),IF(_xlpm.horas=0,"",IFERROR(_xlpm.horas/_xlpm.capacidad,"")))</f>
        <v/>
      </c>
      <c r="T135" s="34">
        <f>_xlfn.LET(_xlpm.horas,N135,_xlpm.feriados,IF($H135="CO",FER_CO,FER_EC),_xlpm.capacidad,NETWORKDAYS(N$3,N$4,_xlpm.feriados)*INDEX(Consultores!$C$6:$C$65,MATCH($A135,Consultores!$A$6:$A$65,0)),IF(_xlpm.horas=0,"",IFERROR(_xlpm.horas/_xlpm.capacidad,"")))</f>
        <v/>
      </c>
      <c r="U135" s="34">
        <f>_xlfn.LET(_xlpm.horas,O135,_xlpm.feriados,IF($H135="CO",FER_CO,FER_EC),_xlpm.capacidad,NETWORKDAYS(O$3,O$4,_xlpm.feriados)*INDEX(Consultores!$C$6:$C$65,MATCH($A135,Consultores!$A$6:$A$65,0)),IF(_xlpm.horas=0,"",IFERROR(_xlpm.horas/_xlpm.capacidad,"")))</f>
        <v/>
      </c>
    </row>
    <row r="136">
      <c r="A136" s="25" t="n"/>
      <c r="B136" s="25" t="n"/>
      <c r="C136" s="25" t="n"/>
      <c r="D136" s="30" t="n"/>
      <c r="E136" s="30" t="n"/>
      <c r="F136" s="26" t="n"/>
      <c r="G136" s="25" t="n"/>
      <c r="H136" s="31">
        <f>IF($A136="","",IFERROR(INDEX(Consultores!$B$6:$B$65,MATCH($A136,Consultores!$A$6:$A$65,0)),"No existe"))</f>
        <v/>
      </c>
      <c r="I136" s="32">
        <f>IF($F136="",0,$F136/5)</f>
        <v/>
      </c>
      <c r="J136" s="33">
        <f>_xlfn.LET(_xlpm.inicio,MAX($D136,J$3),_xlpm.fin,MIN($E136,J$4),_xlpm.feriados,IF($H136="CO",FER_CO,FER_EC),_xlpm.dias,IF(_xlpm.inicio&gt;_xlpm.fin,0,NETWORKDAYS(_xlpm.inicio,_xlpm.fin,_xlpm.feriados)),_xlpm.factor,IF($G136="Probable",IF(Parametros!$B$6="Sí",1,0),1),IF(OR($A136="",$D136="",$E136=""),0,_xlpm.dias*$I136*_xlpm.factor))</f>
        <v/>
      </c>
      <c r="K136" s="33">
        <f>_xlfn.LET(_xlpm.inicio,MAX($D136,K$3),_xlpm.fin,MIN($E136,K$4),_xlpm.feriados,IF($H136="CO",FER_CO,FER_EC),_xlpm.dias,IF(_xlpm.inicio&gt;_xlpm.fin,0,NETWORKDAYS(_xlpm.inicio,_xlpm.fin,_xlpm.feriados)),_xlpm.factor,IF($G136="Probable",IF(Parametros!$B$6="Sí",1,0),1),IF(OR($A136="",$D136="",$E136=""),0,_xlpm.dias*$I136*_xlpm.factor))</f>
        <v/>
      </c>
      <c r="L136" s="33">
        <f>_xlfn.LET(_xlpm.inicio,MAX($D136,L$3),_xlpm.fin,MIN($E136,L$4),_xlpm.feriados,IF($H136="CO",FER_CO,FER_EC),_xlpm.dias,IF(_xlpm.inicio&gt;_xlpm.fin,0,NETWORKDAYS(_xlpm.inicio,_xlpm.fin,_xlpm.feriados)),_xlpm.factor,IF($G136="Probable",IF(Parametros!$B$6="Sí",1,0),1),IF(OR($A136="",$D136="",$E136=""),0,_xlpm.dias*$I136*_xlpm.factor))</f>
        <v/>
      </c>
      <c r="M136" s="33">
        <f>_xlfn.LET(_xlpm.inicio,MAX($D136,M$3),_xlpm.fin,MIN($E136,M$4),_xlpm.feriados,IF($H136="CO",FER_CO,FER_EC),_xlpm.dias,IF(_xlpm.inicio&gt;_xlpm.fin,0,NETWORKDAYS(_xlpm.inicio,_xlpm.fin,_xlpm.feriados)),_xlpm.factor,IF($G136="Probable",IF(Parametros!$B$6="Sí",1,0),1),IF(OR($A136="",$D136="",$E136=""),0,_xlpm.dias*$I136*_xlpm.factor))</f>
        <v/>
      </c>
      <c r="N136" s="33">
        <f>_xlfn.LET(_xlpm.inicio,MAX($D136,N$3),_xlpm.fin,MIN($E136,N$4),_xlpm.feriados,IF($H136="CO",FER_CO,FER_EC),_xlpm.dias,IF(_xlpm.inicio&gt;_xlpm.fin,0,NETWORKDAYS(_xlpm.inicio,_xlpm.fin,_xlpm.feriados)),_xlpm.factor,IF($G136="Probable",IF(Parametros!$B$6="Sí",1,0),1),IF(OR($A136="",$D136="",$E136=""),0,_xlpm.dias*$I136*_xlpm.factor))</f>
        <v/>
      </c>
      <c r="O136" s="33">
        <f>_xlfn.LET(_xlpm.inicio,MAX($D136,O$3),_xlpm.fin,MIN($E136,O$4),_xlpm.feriados,IF($H136="CO",FER_CO,FER_EC),_xlpm.dias,IF(_xlpm.inicio&gt;_xlpm.fin,0,NETWORKDAYS(_xlpm.inicio,_xlpm.fin,_xlpm.feriados)),_xlpm.factor,IF($G136="Probable",IF(Parametros!$B$6="Sí",1,0),1),IF(OR($A136="",$D136="",$E136=""),0,_xlpm.dias*$I136*_xlpm.factor))</f>
        <v/>
      </c>
      <c r="P136" s="34">
        <f>_xlfn.LET(_xlpm.horas,J136,_xlpm.feriados,IF($H136="CO",FER_CO,FER_EC),_xlpm.capacidad,NETWORKDAYS(J$3,J$4,_xlpm.feriados)*INDEX(Consultores!$C$6:$C$65,MATCH($A136,Consultores!$A$6:$A$65,0)),IF(_xlpm.horas=0,"",IFERROR(_xlpm.horas/_xlpm.capacidad,"")))</f>
        <v/>
      </c>
      <c r="Q136" s="34">
        <f>_xlfn.LET(_xlpm.horas,K136,_xlpm.feriados,IF($H136="CO",FER_CO,FER_EC),_xlpm.capacidad,NETWORKDAYS(K$3,K$4,_xlpm.feriados)*INDEX(Consultores!$C$6:$C$65,MATCH($A136,Consultores!$A$6:$A$65,0)),IF(_xlpm.horas=0,"",IFERROR(_xlpm.horas/_xlpm.capacidad,"")))</f>
        <v/>
      </c>
      <c r="R136" s="34">
        <f>_xlfn.LET(_xlpm.horas,L136,_xlpm.feriados,IF($H136="CO",FER_CO,FER_EC),_xlpm.capacidad,NETWORKDAYS(L$3,L$4,_xlpm.feriados)*INDEX(Consultores!$C$6:$C$65,MATCH($A136,Consultores!$A$6:$A$65,0)),IF(_xlpm.horas=0,"",IFERROR(_xlpm.horas/_xlpm.capacidad,"")))</f>
        <v/>
      </c>
      <c r="S136" s="34">
        <f>_xlfn.LET(_xlpm.horas,M136,_xlpm.feriados,IF($H136="CO",FER_CO,FER_EC),_xlpm.capacidad,NETWORKDAYS(M$3,M$4,_xlpm.feriados)*INDEX(Consultores!$C$6:$C$65,MATCH($A136,Consultores!$A$6:$A$65,0)),IF(_xlpm.horas=0,"",IFERROR(_xlpm.horas/_xlpm.capacidad,"")))</f>
        <v/>
      </c>
      <c r="T136" s="34">
        <f>_xlfn.LET(_xlpm.horas,N136,_xlpm.feriados,IF($H136="CO",FER_CO,FER_EC),_xlpm.capacidad,NETWORKDAYS(N$3,N$4,_xlpm.feriados)*INDEX(Consultores!$C$6:$C$65,MATCH($A136,Consultores!$A$6:$A$65,0)),IF(_xlpm.horas=0,"",IFERROR(_xlpm.horas/_xlpm.capacidad,"")))</f>
        <v/>
      </c>
      <c r="U136" s="34">
        <f>_xlfn.LET(_xlpm.horas,O136,_xlpm.feriados,IF($H136="CO",FER_CO,FER_EC),_xlpm.capacidad,NETWORKDAYS(O$3,O$4,_xlpm.feriados)*INDEX(Consultores!$C$6:$C$65,MATCH($A136,Consultores!$A$6:$A$65,0)),IF(_xlpm.horas=0,"",IFERROR(_xlpm.horas/_xlpm.capacidad,"")))</f>
        <v/>
      </c>
    </row>
    <row r="137">
      <c r="A137" s="25" t="n"/>
      <c r="B137" s="25" t="n"/>
      <c r="C137" s="25" t="n"/>
      <c r="D137" s="30" t="n"/>
      <c r="E137" s="30" t="n"/>
      <c r="F137" s="26" t="n"/>
      <c r="G137" s="25" t="n"/>
      <c r="H137" s="31">
        <f>IF($A137="","",IFERROR(INDEX(Consultores!$B$6:$B$65,MATCH($A137,Consultores!$A$6:$A$65,0)),"No existe"))</f>
        <v/>
      </c>
      <c r="I137" s="32">
        <f>IF($F137="",0,$F137/5)</f>
        <v/>
      </c>
      <c r="J137" s="33">
        <f>_xlfn.LET(_xlpm.inicio,MAX($D137,J$3),_xlpm.fin,MIN($E137,J$4),_xlpm.feriados,IF($H137="CO",FER_CO,FER_EC),_xlpm.dias,IF(_xlpm.inicio&gt;_xlpm.fin,0,NETWORKDAYS(_xlpm.inicio,_xlpm.fin,_xlpm.feriados)),_xlpm.factor,IF($G137="Probable",IF(Parametros!$B$6="Sí",1,0),1),IF(OR($A137="",$D137="",$E137=""),0,_xlpm.dias*$I137*_xlpm.factor))</f>
        <v/>
      </c>
      <c r="K137" s="33">
        <f>_xlfn.LET(_xlpm.inicio,MAX($D137,K$3),_xlpm.fin,MIN($E137,K$4),_xlpm.feriados,IF($H137="CO",FER_CO,FER_EC),_xlpm.dias,IF(_xlpm.inicio&gt;_xlpm.fin,0,NETWORKDAYS(_xlpm.inicio,_xlpm.fin,_xlpm.feriados)),_xlpm.factor,IF($G137="Probable",IF(Parametros!$B$6="Sí",1,0),1),IF(OR($A137="",$D137="",$E137=""),0,_xlpm.dias*$I137*_xlpm.factor))</f>
        <v/>
      </c>
      <c r="L137" s="33">
        <f>_xlfn.LET(_xlpm.inicio,MAX($D137,L$3),_xlpm.fin,MIN($E137,L$4),_xlpm.feriados,IF($H137="CO",FER_CO,FER_EC),_xlpm.dias,IF(_xlpm.inicio&gt;_xlpm.fin,0,NETWORKDAYS(_xlpm.inicio,_xlpm.fin,_xlpm.feriados)),_xlpm.factor,IF($G137="Probable",IF(Parametros!$B$6="Sí",1,0),1),IF(OR($A137="",$D137="",$E137=""),0,_xlpm.dias*$I137*_xlpm.factor))</f>
        <v/>
      </c>
      <c r="M137" s="33">
        <f>_xlfn.LET(_xlpm.inicio,MAX($D137,M$3),_xlpm.fin,MIN($E137,M$4),_xlpm.feriados,IF($H137="CO",FER_CO,FER_EC),_xlpm.dias,IF(_xlpm.inicio&gt;_xlpm.fin,0,NETWORKDAYS(_xlpm.inicio,_xlpm.fin,_xlpm.feriados)),_xlpm.factor,IF($G137="Probable",IF(Parametros!$B$6="Sí",1,0),1),IF(OR($A137="",$D137="",$E137=""),0,_xlpm.dias*$I137*_xlpm.factor))</f>
        <v/>
      </c>
      <c r="N137" s="33">
        <f>_xlfn.LET(_xlpm.inicio,MAX($D137,N$3),_xlpm.fin,MIN($E137,N$4),_xlpm.feriados,IF($H137="CO",FER_CO,FER_EC),_xlpm.dias,IF(_xlpm.inicio&gt;_xlpm.fin,0,NETWORKDAYS(_xlpm.inicio,_xlpm.fin,_xlpm.feriados)),_xlpm.factor,IF($G137="Probable",IF(Parametros!$B$6="Sí",1,0),1),IF(OR($A137="",$D137="",$E137=""),0,_xlpm.dias*$I137*_xlpm.factor))</f>
        <v/>
      </c>
      <c r="O137" s="33">
        <f>_xlfn.LET(_xlpm.inicio,MAX($D137,O$3),_xlpm.fin,MIN($E137,O$4),_xlpm.feriados,IF($H137="CO",FER_CO,FER_EC),_xlpm.dias,IF(_xlpm.inicio&gt;_xlpm.fin,0,NETWORKDAYS(_xlpm.inicio,_xlpm.fin,_xlpm.feriados)),_xlpm.factor,IF($G137="Probable",IF(Parametros!$B$6="Sí",1,0),1),IF(OR($A137="",$D137="",$E137=""),0,_xlpm.dias*$I137*_xlpm.factor))</f>
        <v/>
      </c>
      <c r="P137" s="34">
        <f>_xlfn.LET(_xlpm.horas,J137,_xlpm.feriados,IF($H137="CO",FER_CO,FER_EC),_xlpm.capacidad,NETWORKDAYS(J$3,J$4,_xlpm.feriados)*INDEX(Consultores!$C$6:$C$65,MATCH($A137,Consultores!$A$6:$A$65,0)),IF(_xlpm.horas=0,"",IFERROR(_xlpm.horas/_xlpm.capacidad,"")))</f>
        <v/>
      </c>
      <c r="Q137" s="34">
        <f>_xlfn.LET(_xlpm.horas,K137,_xlpm.feriados,IF($H137="CO",FER_CO,FER_EC),_xlpm.capacidad,NETWORKDAYS(K$3,K$4,_xlpm.feriados)*INDEX(Consultores!$C$6:$C$65,MATCH($A137,Consultores!$A$6:$A$65,0)),IF(_xlpm.horas=0,"",IFERROR(_xlpm.horas/_xlpm.capacidad,"")))</f>
        <v/>
      </c>
      <c r="R137" s="34">
        <f>_xlfn.LET(_xlpm.horas,L137,_xlpm.feriados,IF($H137="CO",FER_CO,FER_EC),_xlpm.capacidad,NETWORKDAYS(L$3,L$4,_xlpm.feriados)*INDEX(Consultores!$C$6:$C$65,MATCH($A137,Consultores!$A$6:$A$65,0)),IF(_xlpm.horas=0,"",IFERROR(_xlpm.horas/_xlpm.capacidad,"")))</f>
        <v/>
      </c>
      <c r="S137" s="34">
        <f>_xlfn.LET(_xlpm.horas,M137,_xlpm.feriados,IF($H137="CO",FER_CO,FER_EC),_xlpm.capacidad,NETWORKDAYS(M$3,M$4,_xlpm.feriados)*INDEX(Consultores!$C$6:$C$65,MATCH($A137,Consultores!$A$6:$A$65,0)),IF(_xlpm.horas=0,"",IFERROR(_xlpm.horas/_xlpm.capacidad,"")))</f>
        <v/>
      </c>
      <c r="T137" s="34">
        <f>_xlfn.LET(_xlpm.horas,N137,_xlpm.feriados,IF($H137="CO",FER_CO,FER_EC),_xlpm.capacidad,NETWORKDAYS(N$3,N$4,_xlpm.feriados)*INDEX(Consultores!$C$6:$C$65,MATCH($A137,Consultores!$A$6:$A$65,0)),IF(_xlpm.horas=0,"",IFERROR(_xlpm.horas/_xlpm.capacidad,"")))</f>
        <v/>
      </c>
      <c r="U137" s="34">
        <f>_xlfn.LET(_xlpm.horas,O137,_xlpm.feriados,IF($H137="CO",FER_CO,FER_EC),_xlpm.capacidad,NETWORKDAYS(O$3,O$4,_xlpm.feriados)*INDEX(Consultores!$C$6:$C$65,MATCH($A137,Consultores!$A$6:$A$65,0)),IF(_xlpm.horas=0,"",IFERROR(_xlpm.horas/_xlpm.capacidad,"")))</f>
        <v/>
      </c>
    </row>
    <row r="138">
      <c r="A138" s="25" t="n"/>
      <c r="B138" s="25" t="n"/>
      <c r="C138" s="25" t="n"/>
      <c r="D138" s="30" t="n"/>
      <c r="E138" s="30" t="n"/>
      <c r="F138" s="26" t="n"/>
      <c r="G138" s="25" t="n"/>
      <c r="H138" s="31">
        <f>IF($A138="","",IFERROR(INDEX(Consultores!$B$6:$B$65,MATCH($A138,Consultores!$A$6:$A$65,0)),"No existe"))</f>
        <v/>
      </c>
      <c r="I138" s="32">
        <f>IF($F138="",0,$F138/5)</f>
        <v/>
      </c>
      <c r="J138" s="33">
        <f>_xlfn.LET(_xlpm.inicio,MAX($D138,J$3),_xlpm.fin,MIN($E138,J$4),_xlpm.feriados,IF($H138="CO",FER_CO,FER_EC),_xlpm.dias,IF(_xlpm.inicio&gt;_xlpm.fin,0,NETWORKDAYS(_xlpm.inicio,_xlpm.fin,_xlpm.feriados)),_xlpm.factor,IF($G138="Probable",IF(Parametros!$B$6="Sí",1,0),1),IF(OR($A138="",$D138="",$E138=""),0,_xlpm.dias*$I138*_xlpm.factor))</f>
        <v/>
      </c>
      <c r="K138" s="33">
        <f>_xlfn.LET(_xlpm.inicio,MAX($D138,K$3),_xlpm.fin,MIN($E138,K$4),_xlpm.feriados,IF($H138="CO",FER_CO,FER_EC),_xlpm.dias,IF(_xlpm.inicio&gt;_xlpm.fin,0,NETWORKDAYS(_xlpm.inicio,_xlpm.fin,_xlpm.feriados)),_xlpm.factor,IF($G138="Probable",IF(Parametros!$B$6="Sí",1,0),1),IF(OR($A138="",$D138="",$E138=""),0,_xlpm.dias*$I138*_xlpm.factor))</f>
        <v/>
      </c>
      <c r="L138" s="33">
        <f>_xlfn.LET(_xlpm.inicio,MAX($D138,L$3),_xlpm.fin,MIN($E138,L$4),_xlpm.feriados,IF($H138="CO",FER_CO,FER_EC),_xlpm.dias,IF(_xlpm.inicio&gt;_xlpm.fin,0,NETWORKDAYS(_xlpm.inicio,_xlpm.fin,_xlpm.feriados)),_xlpm.factor,IF($G138="Probable",IF(Parametros!$B$6="Sí",1,0),1),IF(OR($A138="",$D138="",$E138=""),0,_xlpm.dias*$I138*_xlpm.factor))</f>
        <v/>
      </c>
      <c r="M138" s="33">
        <f>_xlfn.LET(_xlpm.inicio,MAX($D138,M$3),_xlpm.fin,MIN($E138,M$4),_xlpm.feriados,IF($H138="CO",FER_CO,FER_EC),_xlpm.dias,IF(_xlpm.inicio&gt;_xlpm.fin,0,NETWORKDAYS(_xlpm.inicio,_xlpm.fin,_xlpm.feriados)),_xlpm.factor,IF($G138="Probable",IF(Parametros!$B$6="Sí",1,0),1),IF(OR($A138="",$D138="",$E138=""),0,_xlpm.dias*$I138*_xlpm.factor))</f>
        <v/>
      </c>
      <c r="N138" s="33">
        <f>_xlfn.LET(_xlpm.inicio,MAX($D138,N$3),_xlpm.fin,MIN($E138,N$4),_xlpm.feriados,IF($H138="CO",FER_CO,FER_EC),_xlpm.dias,IF(_xlpm.inicio&gt;_xlpm.fin,0,NETWORKDAYS(_xlpm.inicio,_xlpm.fin,_xlpm.feriados)),_xlpm.factor,IF($G138="Probable",IF(Parametros!$B$6="Sí",1,0),1),IF(OR($A138="",$D138="",$E138=""),0,_xlpm.dias*$I138*_xlpm.factor))</f>
        <v/>
      </c>
      <c r="O138" s="33">
        <f>_xlfn.LET(_xlpm.inicio,MAX($D138,O$3),_xlpm.fin,MIN($E138,O$4),_xlpm.feriados,IF($H138="CO",FER_CO,FER_EC),_xlpm.dias,IF(_xlpm.inicio&gt;_xlpm.fin,0,NETWORKDAYS(_xlpm.inicio,_xlpm.fin,_xlpm.feriados)),_xlpm.factor,IF($G138="Probable",IF(Parametros!$B$6="Sí",1,0),1),IF(OR($A138="",$D138="",$E138=""),0,_xlpm.dias*$I138*_xlpm.factor))</f>
        <v/>
      </c>
      <c r="P138" s="34">
        <f>_xlfn.LET(_xlpm.horas,J138,_xlpm.feriados,IF($H138="CO",FER_CO,FER_EC),_xlpm.capacidad,NETWORKDAYS(J$3,J$4,_xlpm.feriados)*INDEX(Consultores!$C$6:$C$65,MATCH($A138,Consultores!$A$6:$A$65,0)),IF(_xlpm.horas=0,"",IFERROR(_xlpm.horas/_xlpm.capacidad,"")))</f>
        <v/>
      </c>
      <c r="Q138" s="34">
        <f>_xlfn.LET(_xlpm.horas,K138,_xlpm.feriados,IF($H138="CO",FER_CO,FER_EC),_xlpm.capacidad,NETWORKDAYS(K$3,K$4,_xlpm.feriados)*INDEX(Consultores!$C$6:$C$65,MATCH($A138,Consultores!$A$6:$A$65,0)),IF(_xlpm.horas=0,"",IFERROR(_xlpm.horas/_xlpm.capacidad,"")))</f>
        <v/>
      </c>
      <c r="R138" s="34">
        <f>_xlfn.LET(_xlpm.horas,L138,_xlpm.feriados,IF($H138="CO",FER_CO,FER_EC),_xlpm.capacidad,NETWORKDAYS(L$3,L$4,_xlpm.feriados)*INDEX(Consultores!$C$6:$C$65,MATCH($A138,Consultores!$A$6:$A$65,0)),IF(_xlpm.horas=0,"",IFERROR(_xlpm.horas/_xlpm.capacidad,"")))</f>
        <v/>
      </c>
      <c r="S138" s="34">
        <f>_xlfn.LET(_xlpm.horas,M138,_xlpm.feriados,IF($H138="CO",FER_CO,FER_EC),_xlpm.capacidad,NETWORKDAYS(M$3,M$4,_xlpm.feriados)*INDEX(Consultores!$C$6:$C$65,MATCH($A138,Consultores!$A$6:$A$65,0)),IF(_xlpm.horas=0,"",IFERROR(_xlpm.horas/_xlpm.capacidad,"")))</f>
        <v/>
      </c>
      <c r="T138" s="34">
        <f>_xlfn.LET(_xlpm.horas,N138,_xlpm.feriados,IF($H138="CO",FER_CO,FER_EC),_xlpm.capacidad,NETWORKDAYS(N$3,N$4,_xlpm.feriados)*INDEX(Consultores!$C$6:$C$65,MATCH($A138,Consultores!$A$6:$A$65,0)),IF(_xlpm.horas=0,"",IFERROR(_xlpm.horas/_xlpm.capacidad,"")))</f>
        <v/>
      </c>
      <c r="U138" s="34">
        <f>_xlfn.LET(_xlpm.horas,O138,_xlpm.feriados,IF($H138="CO",FER_CO,FER_EC),_xlpm.capacidad,NETWORKDAYS(O$3,O$4,_xlpm.feriados)*INDEX(Consultores!$C$6:$C$65,MATCH($A138,Consultores!$A$6:$A$65,0)),IF(_xlpm.horas=0,"",IFERROR(_xlpm.horas/_xlpm.capacidad,"")))</f>
        <v/>
      </c>
    </row>
    <row r="139">
      <c r="A139" s="25" t="n"/>
      <c r="B139" s="25" t="n"/>
      <c r="C139" s="25" t="n"/>
      <c r="D139" s="30" t="n"/>
      <c r="E139" s="30" t="n"/>
      <c r="F139" s="26" t="n"/>
      <c r="G139" s="25" t="n"/>
      <c r="H139" s="31">
        <f>IF($A139="","",IFERROR(INDEX(Consultores!$B$6:$B$65,MATCH($A139,Consultores!$A$6:$A$65,0)),"No existe"))</f>
        <v/>
      </c>
      <c r="I139" s="32">
        <f>IF($F139="",0,$F139/5)</f>
        <v/>
      </c>
      <c r="J139" s="33">
        <f>_xlfn.LET(_xlpm.inicio,MAX($D139,J$3),_xlpm.fin,MIN($E139,J$4),_xlpm.feriados,IF($H139="CO",FER_CO,FER_EC),_xlpm.dias,IF(_xlpm.inicio&gt;_xlpm.fin,0,NETWORKDAYS(_xlpm.inicio,_xlpm.fin,_xlpm.feriados)),_xlpm.factor,IF($G139="Probable",IF(Parametros!$B$6="Sí",1,0),1),IF(OR($A139="",$D139="",$E139=""),0,_xlpm.dias*$I139*_xlpm.factor))</f>
        <v/>
      </c>
      <c r="K139" s="33">
        <f>_xlfn.LET(_xlpm.inicio,MAX($D139,K$3),_xlpm.fin,MIN($E139,K$4),_xlpm.feriados,IF($H139="CO",FER_CO,FER_EC),_xlpm.dias,IF(_xlpm.inicio&gt;_xlpm.fin,0,NETWORKDAYS(_xlpm.inicio,_xlpm.fin,_xlpm.feriados)),_xlpm.factor,IF($G139="Probable",IF(Parametros!$B$6="Sí",1,0),1),IF(OR($A139="",$D139="",$E139=""),0,_xlpm.dias*$I139*_xlpm.factor))</f>
        <v/>
      </c>
      <c r="L139" s="33">
        <f>_xlfn.LET(_xlpm.inicio,MAX($D139,L$3),_xlpm.fin,MIN($E139,L$4),_xlpm.feriados,IF($H139="CO",FER_CO,FER_EC),_xlpm.dias,IF(_xlpm.inicio&gt;_xlpm.fin,0,NETWORKDAYS(_xlpm.inicio,_xlpm.fin,_xlpm.feriados)),_xlpm.factor,IF($G139="Probable",IF(Parametros!$B$6="Sí",1,0),1),IF(OR($A139="",$D139="",$E139=""),0,_xlpm.dias*$I139*_xlpm.factor))</f>
        <v/>
      </c>
      <c r="M139" s="33">
        <f>_xlfn.LET(_xlpm.inicio,MAX($D139,M$3),_xlpm.fin,MIN($E139,M$4),_xlpm.feriados,IF($H139="CO",FER_CO,FER_EC),_xlpm.dias,IF(_xlpm.inicio&gt;_xlpm.fin,0,NETWORKDAYS(_xlpm.inicio,_xlpm.fin,_xlpm.feriados)),_xlpm.factor,IF($G139="Probable",IF(Parametros!$B$6="Sí",1,0),1),IF(OR($A139="",$D139="",$E139=""),0,_xlpm.dias*$I139*_xlpm.factor))</f>
        <v/>
      </c>
      <c r="N139" s="33">
        <f>_xlfn.LET(_xlpm.inicio,MAX($D139,N$3),_xlpm.fin,MIN($E139,N$4),_xlpm.feriados,IF($H139="CO",FER_CO,FER_EC),_xlpm.dias,IF(_xlpm.inicio&gt;_xlpm.fin,0,NETWORKDAYS(_xlpm.inicio,_xlpm.fin,_xlpm.feriados)),_xlpm.factor,IF($G139="Probable",IF(Parametros!$B$6="Sí",1,0),1),IF(OR($A139="",$D139="",$E139=""),0,_xlpm.dias*$I139*_xlpm.factor))</f>
        <v/>
      </c>
      <c r="O139" s="33">
        <f>_xlfn.LET(_xlpm.inicio,MAX($D139,O$3),_xlpm.fin,MIN($E139,O$4),_xlpm.feriados,IF($H139="CO",FER_CO,FER_EC),_xlpm.dias,IF(_xlpm.inicio&gt;_xlpm.fin,0,NETWORKDAYS(_xlpm.inicio,_xlpm.fin,_xlpm.feriados)),_xlpm.factor,IF($G139="Probable",IF(Parametros!$B$6="Sí",1,0),1),IF(OR($A139="",$D139="",$E139=""),0,_xlpm.dias*$I139*_xlpm.factor))</f>
        <v/>
      </c>
      <c r="P139" s="34">
        <f>_xlfn.LET(_xlpm.horas,J139,_xlpm.feriados,IF($H139="CO",FER_CO,FER_EC),_xlpm.capacidad,NETWORKDAYS(J$3,J$4,_xlpm.feriados)*INDEX(Consultores!$C$6:$C$65,MATCH($A139,Consultores!$A$6:$A$65,0)),IF(_xlpm.horas=0,"",IFERROR(_xlpm.horas/_xlpm.capacidad,"")))</f>
        <v/>
      </c>
      <c r="Q139" s="34">
        <f>_xlfn.LET(_xlpm.horas,K139,_xlpm.feriados,IF($H139="CO",FER_CO,FER_EC),_xlpm.capacidad,NETWORKDAYS(K$3,K$4,_xlpm.feriados)*INDEX(Consultores!$C$6:$C$65,MATCH($A139,Consultores!$A$6:$A$65,0)),IF(_xlpm.horas=0,"",IFERROR(_xlpm.horas/_xlpm.capacidad,"")))</f>
        <v/>
      </c>
      <c r="R139" s="34">
        <f>_xlfn.LET(_xlpm.horas,L139,_xlpm.feriados,IF($H139="CO",FER_CO,FER_EC),_xlpm.capacidad,NETWORKDAYS(L$3,L$4,_xlpm.feriados)*INDEX(Consultores!$C$6:$C$65,MATCH($A139,Consultores!$A$6:$A$65,0)),IF(_xlpm.horas=0,"",IFERROR(_xlpm.horas/_xlpm.capacidad,"")))</f>
        <v/>
      </c>
      <c r="S139" s="34">
        <f>_xlfn.LET(_xlpm.horas,M139,_xlpm.feriados,IF($H139="CO",FER_CO,FER_EC),_xlpm.capacidad,NETWORKDAYS(M$3,M$4,_xlpm.feriados)*INDEX(Consultores!$C$6:$C$65,MATCH($A139,Consultores!$A$6:$A$65,0)),IF(_xlpm.horas=0,"",IFERROR(_xlpm.horas/_xlpm.capacidad,"")))</f>
        <v/>
      </c>
      <c r="T139" s="34">
        <f>_xlfn.LET(_xlpm.horas,N139,_xlpm.feriados,IF($H139="CO",FER_CO,FER_EC),_xlpm.capacidad,NETWORKDAYS(N$3,N$4,_xlpm.feriados)*INDEX(Consultores!$C$6:$C$65,MATCH($A139,Consultores!$A$6:$A$65,0)),IF(_xlpm.horas=0,"",IFERROR(_xlpm.horas/_xlpm.capacidad,"")))</f>
        <v/>
      </c>
      <c r="U139" s="34">
        <f>_xlfn.LET(_xlpm.horas,O139,_xlpm.feriados,IF($H139="CO",FER_CO,FER_EC),_xlpm.capacidad,NETWORKDAYS(O$3,O$4,_xlpm.feriados)*INDEX(Consultores!$C$6:$C$65,MATCH($A139,Consultores!$A$6:$A$65,0)),IF(_xlpm.horas=0,"",IFERROR(_xlpm.horas/_xlpm.capacidad,"")))</f>
        <v/>
      </c>
    </row>
    <row r="140">
      <c r="A140" s="25" t="n"/>
      <c r="B140" s="25" t="n"/>
      <c r="C140" s="25" t="n"/>
      <c r="D140" s="30" t="n"/>
      <c r="E140" s="30" t="n"/>
      <c r="F140" s="26" t="n"/>
      <c r="G140" s="25" t="n"/>
      <c r="H140" s="31">
        <f>IF($A140="","",IFERROR(INDEX(Consultores!$B$6:$B$65,MATCH($A140,Consultores!$A$6:$A$65,0)),"No existe"))</f>
        <v/>
      </c>
      <c r="I140" s="32">
        <f>IF($F140="",0,$F140/5)</f>
        <v/>
      </c>
      <c r="J140" s="33">
        <f>_xlfn.LET(_xlpm.inicio,MAX($D140,J$3),_xlpm.fin,MIN($E140,J$4),_xlpm.feriados,IF($H140="CO",FER_CO,FER_EC),_xlpm.dias,IF(_xlpm.inicio&gt;_xlpm.fin,0,NETWORKDAYS(_xlpm.inicio,_xlpm.fin,_xlpm.feriados)),_xlpm.factor,IF($G140="Probable",IF(Parametros!$B$6="Sí",1,0),1),IF(OR($A140="",$D140="",$E140=""),0,_xlpm.dias*$I140*_xlpm.factor))</f>
        <v/>
      </c>
      <c r="K140" s="33">
        <f>_xlfn.LET(_xlpm.inicio,MAX($D140,K$3),_xlpm.fin,MIN($E140,K$4),_xlpm.feriados,IF($H140="CO",FER_CO,FER_EC),_xlpm.dias,IF(_xlpm.inicio&gt;_xlpm.fin,0,NETWORKDAYS(_xlpm.inicio,_xlpm.fin,_xlpm.feriados)),_xlpm.factor,IF($G140="Probable",IF(Parametros!$B$6="Sí",1,0),1),IF(OR($A140="",$D140="",$E140=""),0,_xlpm.dias*$I140*_xlpm.factor))</f>
        <v/>
      </c>
      <c r="L140" s="33">
        <f>_xlfn.LET(_xlpm.inicio,MAX($D140,L$3),_xlpm.fin,MIN($E140,L$4),_xlpm.feriados,IF($H140="CO",FER_CO,FER_EC),_xlpm.dias,IF(_xlpm.inicio&gt;_xlpm.fin,0,NETWORKDAYS(_xlpm.inicio,_xlpm.fin,_xlpm.feriados)),_xlpm.factor,IF($G140="Probable",IF(Parametros!$B$6="Sí",1,0),1),IF(OR($A140="",$D140="",$E140=""),0,_xlpm.dias*$I140*_xlpm.factor))</f>
        <v/>
      </c>
      <c r="M140" s="33">
        <f>_xlfn.LET(_xlpm.inicio,MAX($D140,M$3),_xlpm.fin,MIN($E140,M$4),_xlpm.feriados,IF($H140="CO",FER_CO,FER_EC),_xlpm.dias,IF(_xlpm.inicio&gt;_xlpm.fin,0,NETWORKDAYS(_xlpm.inicio,_xlpm.fin,_xlpm.feriados)),_xlpm.factor,IF($G140="Probable",IF(Parametros!$B$6="Sí",1,0),1),IF(OR($A140="",$D140="",$E140=""),0,_xlpm.dias*$I140*_xlpm.factor))</f>
        <v/>
      </c>
      <c r="N140" s="33">
        <f>_xlfn.LET(_xlpm.inicio,MAX($D140,N$3),_xlpm.fin,MIN($E140,N$4),_xlpm.feriados,IF($H140="CO",FER_CO,FER_EC),_xlpm.dias,IF(_xlpm.inicio&gt;_xlpm.fin,0,NETWORKDAYS(_xlpm.inicio,_xlpm.fin,_xlpm.feriados)),_xlpm.factor,IF($G140="Probable",IF(Parametros!$B$6="Sí",1,0),1),IF(OR($A140="",$D140="",$E140=""),0,_xlpm.dias*$I140*_xlpm.factor))</f>
        <v/>
      </c>
      <c r="O140" s="33">
        <f>_xlfn.LET(_xlpm.inicio,MAX($D140,O$3),_xlpm.fin,MIN($E140,O$4),_xlpm.feriados,IF($H140="CO",FER_CO,FER_EC),_xlpm.dias,IF(_xlpm.inicio&gt;_xlpm.fin,0,NETWORKDAYS(_xlpm.inicio,_xlpm.fin,_xlpm.feriados)),_xlpm.factor,IF($G140="Probable",IF(Parametros!$B$6="Sí",1,0),1),IF(OR($A140="",$D140="",$E140=""),0,_xlpm.dias*$I140*_xlpm.factor))</f>
        <v/>
      </c>
      <c r="P140" s="34">
        <f>_xlfn.LET(_xlpm.horas,J140,_xlpm.feriados,IF($H140="CO",FER_CO,FER_EC),_xlpm.capacidad,NETWORKDAYS(J$3,J$4,_xlpm.feriados)*INDEX(Consultores!$C$6:$C$65,MATCH($A140,Consultores!$A$6:$A$65,0)),IF(_xlpm.horas=0,"",IFERROR(_xlpm.horas/_xlpm.capacidad,"")))</f>
        <v/>
      </c>
      <c r="Q140" s="34">
        <f>_xlfn.LET(_xlpm.horas,K140,_xlpm.feriados,IF($H140="CO",FER_CO,FER_EC),_xlpm.capacidad,NETWORKDAYS(K$3,K$4,_xlpm.feriados)*INDEX(Consultores!$C$6:$C$65,MATCH($A140,Consultores!$A$6:$A$65,0)),IF(_xlpm.horas=0,"",IFERROR(_xlpm.horas/_xlpm.capacidad,"")))</f>
        <v/>
      </c>
      <c r="R140" s="34">
        <f>_xlfn.LET(_xlpm.horas,L140,_xlpm.feriados,IF($H140="CO",FER_CO,FER_EC),_xlpm.capacidad,NETWORKDAYS(L$3,L$4,_xlpm.feriados)*INDEX(Consultores!$C$6:$C$65,MATCH($A140,Consultores!$A$6:$A$65,0)),IF(_xlpm.horas=0,"",IFERROR(_xlpm.horas/_xlpm.capacidad,"")))</f>
        <v/>
      </c>
      <c r="S140" s="34">
        <f>_xlfn.LET(_xlpm.horas,M140,_xlpm.feriados,IF($H140="CO",FER_CO,FER_EC),_xlpm.capacidad,NETWORKDAYS(M$3,M$4,_xlpm.feriados)*INDEX(Consultores!$C$6:$C$65,MATCH($A140,Consultores!$A$6:$A$65,0)),IF(_xlpm.horas=0,"",IFERROR(_xlpm.horas/_xlpm.capacidad,"")))</f>
        <v/>
      </c>
      <c r="T140" s="34">
        <f>_xlfn.LET(_xlpm.horas,N140,_xlpm.feriados,IF($H140="CO",FER_CO,FER_EC),_xlpm.capacidad,NETWORKDAYS(N$3,N$4,_xlpm.feriados)*INDEX(Consultores!$C$6:$C$65,MATCH($A140,Consultores!$A$6:$A$65,0)),IF(_xlpm.horas=0,"",IFERROR(_xlpm.horas/_xlpm.capacidad,"")))</f>
        <v/>
      </c>
      <c r="U140" s="34">
        <f>_xlfn.LET(_xlpm.horas,O140,_xlpm.feriados,IF($H140="CO",FER_CO,FER_EC),_xlpm.capacidad,NETWORKDAYS(O$3,O$4,_xlpm.feriados)*INDEX(Consultores!$C$6:$C$65,MATCH($A140,Consultores!$A$6:$A$65,0)),IF(_xlpm.horas=0,"",IFERROR(_xlpm.horas/_xlpm.capacidad,"")))</f>
        <v/>
      </c>
    </row>
    <row r="141">
      <c r="A141" s="25" t="n"/>
      <c r="B141" s="25" t="n"/>
      <c r="C141" s="25" t="n"/>
      <c r="D141" s="30" t="n"/>
      <c r="E141" s="30" t="n"/>
      <c r="F141" s="26" t="n"/>
      <c r="G141" s="25" t="n"/>
      <c r="H141" s="31">
        <f>IF($A141="","",IFERROR(INDEX(Consultores!$B$6:$B$65,MATCH($A141,Consultores!$A$6:$A$65,0)),"No existe"))</f>
        <v/>
      </c>
      <c r="I141" s="32">
        <f>IF($F141="",0,$F141/5)</f>
        <v/>
      </c>
      <c r="J141" s="33">
        <f>_xlfn.LET(_xlpm.inicio,MAX($D141,J$3),_xlpm.fin,MIN($E141,J$4),_xlpm.feriados,IF($H141="CO",FER_CO,FER_EC),_xlpm.dias,IF(_xlpm.inicio&gt;_xlpm.fin,0,NETWORKDAYS(_xlpm.inicio,_xlpm.fin,_xlpm.feriados)),_xlpm.factor,IF($G141="Probable",IF(Parametros!$B$6="Sí",1,0),1),IF(OR($A141="",$D141="",$E141=""),0,_xlpm.dias*$I141*_xlpm.factor))</f>
        <v/>
      </c>
      <c r="K141" s="33">
        <f>_xlfn.LET(_xlpm.inicio,MAX($D141,K$3),_xlpm.fin,MIN($E141,K$4),_xlpm.feriados,IF($H141="CO",FER_CO,FER_EC),_xlpm.dias,IF(_xlpm.inicio&gt;_xlpm.fin,0,NETWORKDAYS(_xlpm.inicio,_xlpm.fin,_xlpm.feriados)),_xlpm.factor,IF($G141="Probable",IF(Parametros!$B$6="Sí",1,0),1),IF(OR($A141="",$D141="",$E141=""),0,_xlpm.dias*$I141*_xlpm.factor))</f>
        <v/>
      </c>
      <c r="L141" s="33">
        <f>_xlfn.LET(_xlpm.inicio,MAX($D141,L$3),_xlpm.fin,MIN($E141,L$4),_xlpm.feriados,IF($H141="CO",FER_CO,FER_EC),_xlpm.dias,IF(_xlpm.inicio&gt;_xlpm.fin,0,NETWORKDAYS(_xlpm.inicio,_xlpm.fin,_xlpm.feriados)),_xlpm.factor,IF($G141="Probable",IF(Parametros!$B$6="Sí",1,0),1),IF(OR($A141="",$D141="",$E141=""),0,_xlpm.dias*$I141*_xlpm.factor))</f>
        <v/>
      </c>
      <c r="M141" s="33">
        <f>_xlfn.LET(_xlpm.inicio,MAX($D141,M$3),_xlpm.fin,MIN($E141,M$4),_xlpm.feriados,IF($H141="CO",FER_CO,FER_EC),_xlpm.dias,IF(_xlpm.inicio&gt;_xlpm.fin,0,NETWORKDAYS(_xlpm.inicio,_xlpm.fin,_xlpm.feriados)),_xlpm.factor,IF($G141="Probable",IF(Parametros!$B$6="Sí",1,0),1),IF(OR($A141="",$D141="",$E141=""),0,_xlpm.dias*$I141*_xlpm.factor))</f>
        <v/>
      </c>
      <c r="N141" s="33">
        <f>_xlfn.LET(_xlpm.inicio,MAX($D141,N$3),_xlpm.fin,MIN($E141,N$4),_xlpm.feriados,IF($H141="CO",FER_CO,FER_EC),_xlpm.dias,IF(_xlpm.inicio&gt;_xlpm.fin,0,NETWORKDAYS(_xlpm.inicio,_xlpm.fin,_xlpm.feriados)),_xlpm.factor,IF($G141="Probable",IF(Parametros!$B$6="Sí",1,0),1),IF(OR($A141="",$D141="",$E141=""),0,_xlpm.dias*$I141*_xlpm.factor))</f>
        <v/>
      </c>
      <c r="O141" s="33">
        <f>_xlfn.LET(_xlpm.inicio,MAX($D141,O$3),_xlpm.fin,MIN($E141,O$4),_xlpm.feriados,IF($H141="CO",FER_CO,FER_EC),_xlpm.dias,IF(_xlpm.inicio&gt;_xlpm.fin,0,NETWORKDAYS(_xlpm.inicio,_xlpm.fin,_xlpm.feriados)),_xlpm.factor,IF($G141="Probable",IF(Parametros!$B$6="Sí",1,0),1),IF(OR($A141="",$D141="",$E141=""),0,_xlpm.dias*$I141*_xlpm.factor))</f>
        <v/>
      </c>
      <c r="P141" s="34">
        <f>_xlfn.LET(_xlpm.horas,J141,_xlpm.feriados,IF($H141="CO",FER_CO,FER_EC),_xlpm.capacidad,NETWORKDAYS(J$3,J$4,_xlpm.feriados)*INDEX(Consultores!$C$6:$C$65,MATCH($A141,Consultores!$A$6:$A$65,0)),IF(_xlpm.horas=0,"",IFERROR(_xlpm.horas/_xlpm.capacidad,"")))</f>
        <v/>
      </c>
      <c r="Q141" s="34">
        <f>_xlfn.LET(_xlpm.horas,K141,_xlpm.feriados,IF($H141="CO",FER_CO,FER_EC),_xlpm.capacidad,NETWORKDAYS(K$3,K$4,_xlpm.feriados)*INDEX(Consultores!$C$6:$C$65,MATCH($A141,Consultores!$A$6:$A$65,0)),IF(_xlpm.horas=0,"",IFERROR(_xlpm.horas/_xlpm.capacidad,"")))</f>
        <v/>
      </c>
      <c r="R141" s="34">
        <f>_xlfn.LET(_xlpm.horas,L141,_xlpm.feriados,IF($H141="CO",FER_CO,FER_EC),_xlpm.capacidad,NETWORKDAYS(L$3,L$4,_xlpm.feriados)*INDEX(Consultores!$C$6:$C$65,MATCH($A141,Consultores!$A$6:$A$65,0)),IF(_xlpm.horas=0,"",IFERROR(_xlpm.horas/_xlpm.capacidad,"")))</f>
        <v/>
      </c>
      <c r="S141" s="34">
        <f>_xlfn.LET(_xlpm.horas,M141,_xlpm.feriados,IF($H141="CO",FER_CO,FER_EC),_xlpm.capacidad,NETWORKDAYS(M$3,M$4,_xlpm.feriados)*INDEX(Consultores!$C$6:$C$65,MATCH($A141,Consultores!$A$6:$A$65,0)),IF(_xlpm.horas=0,"",IFERROR(_xlpm.horas/_xlpm.capacidad,"")))</f>
        <v/>
      </c>
      <c r="T141" s="34">
        <f>_xlfn.LET(_xlpm.horas,N141,_xlpm.feriados,IF($H141="CO",FER_CO,FER_EC),_xlpm.capacidad,NETWORKDAYS(N$3,N$4,_xlpm.feriados)*INDEX(Consultores!$C$6:$C$65,MATCH($A141,Consultores!$A$6:$A$65,0)),IF(_xlpm.horas=0,"",IFERROR(_xlpm.horas/_xlpm.capacidad,"")))</f>
        <v/>
      </c>
      <c r="U141" s="34">
        <f>_xlfn.LET(_xlpm.horas,O141,_xlpm.feriados,IF($H141="CO",FER_CO,FER_EC),_xlpm.capacidad,NETWORKDAYS(O$3,O$4,_xlpm.feriados)*INDEX(Consultores!$C$6:$C$65,MATCH($A141,Consultores!$A$6:$A$65,0)),IF(_xlpm.horas=0,"",IFERROR(_xlpm.horas/_xlpm.capacidad,"")))</f>
        <v/>
      </c>
    </row>
    <row r="142">
      <c r="A142" s="25" t="n"/>
      <c r="B142" s="25" t="n"/>
      <c r="C142" s="25" t="n"/>
      <c r="D142" s="30" t="n"/>
      <c r="E142" s="30" t="n"/>
      <c r="F142" s="26" t="n"/>
      <c r="G142" s="25" t="n"/>
      <c r="H142" s="31">
        <f>IF($A142="","",IFERROR(INDEX(Consultores!$B$6:$B$65,MATCH($A142,Consultores!$A$6:$A$65,0)),"No existe"))</f>
        <v/>
      </c>
      <c r="I142" s="32">
        <f>IF($F142="",0,$F142/5)</f>
        <v/>
      </c>
      <c r="J142" s="33">
        <f>_xlfn.LET(_xlpm.inicio,MAX($D142,J$3),_xlpm.fin,MIN($E142,J$4),_xlpm.feriados,IF($H142="CO",FER_CO,FER_EC),_xlpm.dias,IF(_xlpm.inicio&gt;_xlpm.fin,0,NETWORKDAYS(_xlpm.inicio,_xlpm.fin,_xlpm.feriados)),_xlpm.factor,IF($G142="Probable",IF(Parametros!$B$6="Sí",1,0),1),IF(OR($A142="",$D142="",$E142=""),0,_xlpm.dias*$I142*_xlpm.factor))</f>
        <v/>
      </c>
      <c r="K142" s="33">
        <f>_xlfn.LET(_xlpm.inicio,MAX($D142,K$3),_xlpm.fin,MIN($E142,K$4),_xlpm.feriados,IF($H142="CO",FER_CO,FER_EC),_xlpm.dias,IF(_xlpm.inicio&gt;_xlpm.fin,0,NETWORKDAYS(_xlpm.inicio,_xlpm.fin,_xlpm.feriados)),_xlpm.factor,IF($G142="Probable",IF(Parametros!$B$6="Sí",1,0),1),IF(OR($A142="",$D142="",$E142=""),0,_xlpm.dias*$I142*_xlpm.factor))</f>
        <v/>
      </c>
      <c r="L142" s="33">
        <f>_xlfn.LET(_xlpm.inicio,MAX($D142,L$3),_xlpm.fin,MIN($E142,L$4),_xlpm.feriados,IF($H142="CO",FER_CO,FER_EC),_xlpm.dias,IF(_xlpm.inicio&gt;_xlpm.fin,0,NETWORKDAYS(_xlpm.inicio,_xlpm.fin,_xlpm.feriados)),_xlpm.factor,IF($G142="Probable",IF(Parametros!$B$6="Sí",1,0),1),IF(OR($A142="",$D142="",$E142=""),0,_xlpm.dias*$I142*_xlpm.factor))</f>
        <v/>
      </c>
      <c r="M142" s="33">
        <f>_xlfn.LET(_xlpm.inicio,MAX($D142,M$3),_xlpm.fin,MIN($E142,M$4),_xlpm.feriados,IF($H142="CO",FER_CO,FER_EC),_xlpm.dias,IF(_xlpm.inicio&gt;_xlpm.fin,0,NETWORKDAYS(_xlpm.inicio,_xlpm.fin,_xlpm.feriados)),_xlpm.factor,IF($G142="Probable",IF(Parametros!$B$6="Sí",1,0),1),IF(OR($A142="",$D142="",$E142=""),0,_xlpm.dias*$I142*_xlpm.factor))</f>
        <v/>
      </c>
      <c r="N142" s="33">
        <f>_xlfn.LET(_xlpm.inicio,MAX($D142,N$3),_xlpm.fin,MIN($E142,N$4),_xlpm.feriados,IF($H142="CO",FER_CO,FER_EC),_xlpm.dias,IF(_xlpm.inicio&gt;_xlpm.fin,0,NETWORKDAYS(_xlpm.inicio,_xlpm.fin,_xlpm.feriados)),_xlpm.factor,IF($G142="Probable",IF(Parametros!$B$6="Sí",1,0),1),IF(OR($A142="",$D142="",$E142=""),0,_xlpm.dias*$I142*_xlpm.factor))</f>
        <v/>
      </c>
      <c r="O142" s="33">
        <f>_xlfn.LET(_xlpm.inicio,MAX($D142,O$3),_xlpm.fin,MIN($E142,O$4),_xlpm.feriados,IF($H142="CO",FER_CO,FER_EC),_xlpm.dias,IF(_xlpm.inicio&gt;_xlpm.fin,0,NETWORKDAYS(_xlpm.inicio,_xlpm.fin,_xlpm.feriados)),_xlpm.factor,IF($G142="Probable",IF(Parametros!$B$6="Sí",1,0),1),IF(OR($A142="",$D142="",$E142=""),0,_xlpm.dias*$I142*_xlpm.factor))</f>
        <v/>
      </c>
      <c r="P142" s="34">
        <f>_xlfn.LET(_xlpm.horas,J142,_xlpm.feriados,IF($H142="CO",FER_CO,FER_EC),_xlpm.capacidad,NETWORKDAYS(J$3,J$4,_xlpm.feriados)*INDEX(Consultores!$C$6:$C$65,MATCH($A142,Consultores!$A$6:$A$65,0)),IF(_xlpm.horas=0,"",IFERROR(_xlpm.horas/_xlpm.capacidad,"")))</f>
        <v/>
      </c>
      <c r="Q142" s="34">
        <f>_xlfn.LET(_xlpm.horas,K142,_xlpm.feriados,IF($H142="CO",FER_CO,FER_EC),_xlpm.capacidad,NETWORKDAYS(K$3,K$4,_xlpm.feriados)*INDEX(Consultores!$C$6:$C$65,MATCH($A142,Consultores!$A$6:$A$65,0)),IF(_xlpm.horas=0,"",IFERROR(_xlpm.horas/_xlpm.capacidad,"")))</f>
        <v/>
      </c>
      <c r="R142" s="34">
        <f>_xlfn.LET(_xlpm.horas,L142,_xlpm.feriados,IF($H142="CO",FER_CO,FER_EC),_xlpm.capacidad,NETWORKDAYS(L$3,L$4,_xlpm.feriados)*INDEX(Consultores!$C$6:$C$65,MATCH($A142,Consultores!$A$6:$A$65,0)),IF(_xlpm.horas=0,"",IFERROR(_xlpm.horas/_xlpm.capacidad,"")))</f>
        <v/>
      </c>
      <c r="S142" s="34">
        <f>_xlfn.LET(_xlpm.horas,M142,_xlpm.feriados,IF($H142="CO",FER_CO,FER_EC),_xlpm.capacidad,NETWORKDAYS(M$3,M$4,_xlpm.feriados)*INDEX(Consultores!$C$6:$C$65,MATCH($A142,Consultores!$A$6:$A$65,0)),IF(_xlpm.horas=0,"",IFERROR(_xlpm.horas/_xlpm.capacidad,"")))</f>
        <v/>
      </c>
      <c r="T142" s="34">
        <f>_xlfn.LET(_xlpm.horas,N142,_xlpm.feriados,IF($H142="CO",FER_CO,FER_EC),_xlpm.capacidad,NETWORKDAYS(N$3,N$4,_xlpm.feriados)*INDEX(Consultores!$C$6:$C$65,MATCH($A142,Consultores!$A$6:$A$65,0)),IF(_xlpm.horas=0,"",IFERROR(_xlpm.horas/_xlpm.capacidad,"")))</f>
        <v/>
      </c>
      <c r="U142" s="34">
        <f>_xlfn.LET(_xlpm.horas,O142,_xlpm.feriados,IF($H142="CO",FER_CO,FER_EC),_xlpm.capacidad,NETWORKDAYS(O$3,O$4,_xlpm.feriados)*INDEX(Consultores!$C$6:$C$65,MATCH($A142,Consultores!$A$6:$A$65,0)),IF(_xlpm.horas=0,"",IFERROR(_xlpm.horas/_xlpm.capacidad,"")))</f>
        <v/>
      </c>
    </row>
    <row r="143">
      <c r="A143" s="25" t="n"/>
      <c r="B143" s="25" t="n"/>
      <c r="C143" s="25" t="n"/>
      <c r="D143" s="30" t="n"/>
      <c r="E143" s="30" t="n"/>
      <c r="F143" s="26" t="n"/>
      <c r="G143" s="25" t="n"/>
      <c r="H143" s="31">
        <f>IF($A143="","",IFERROR(INDEX(Consultores!$B$6:$B$65,MATCH($A143,Consultores!$A$6:$A$65,0)),"No existe"))</f>
        <v/>
      </c>
      <c r="I143" s="32">
        <f>IF($F143="",0,$F143/5)</f>
        <v/>
      </c>
      <c r="J143" s="33">
        <f>_xlfn.LET(_xlpm.inicio,MAX($D143,J$3),_xlpm.fin,MIN($E143,J$4),_xlpm.feriados,IF($H143="CO",FER_CO,FER_EC),_xlpm.dias,IF(_xlpm.inicio&gt;_xlpm.fin,0,NETWORKDAYS(_xlpm.inicio,_xlpm.fin,_xlpm.feriados)),_xlpm.factor,IF($G143="Probable",IF(Parametros!$B$6="Sí",1,0),1),IF(OR($A143="",$D143="",$E143=""),0,_xlpm.dias*$I143*_xlpm.factor))</f>
        <v/>
      </c>
      <c r="K143" s="33">
        <f>_xlfn.LET(_xlpm.inicio,MAX($D143,K$3),_xlpm.fin,MIN($E143,K$4),_xlpm.feriados,IF($H143="CO",FER_CO,FER_EC),_xlpm.dias,IF(_xlpm.inicio&gt;_xlpm.fin,0,NETWORKDAYS(_xlpm.inicio,_xlpm.fin,_xlpm.feriados)),_xlpm.factor,IF($G143="Probable",IF(Parametros!$B$6="Sí",1,0),1),IF(OR($A143="",$D143="",$E143=""),0,_xlpm.dias*$I143*_xlpm.factor))</f>
        <v/>
      </c>
      <c r="L143" s="33">
        <f>_xlfn.LET(_xlpm.inicio,MAX($D143,L$3),_xlpm.fin,MIN($E143,L$4),_xlpm.feriados,IF($H143="CO",FER_CO,FER_EC),_xlpm.dias,IF(_xlpm.inicio&gt;_xlpm.fin,0,NETWORKDAYS(_xlpm.inicio,_xlpm.fin,_xlpm.feriados)),_xlpm.factor,IF($G143="Probable",IF(Parametros!$B$6="Sí",1,0),1),IF(OR($A143="",$D143="",$E143=""),0,_xlpm.dias*$I143*_xlpm.factor))</f>
        <v/>
      </c>
      <c r="M143" s="33">
        <f>_xlfn.LET(_xlpm.inicio,MAX($D143,M$3),_xlpm.fin,MIN($E143,M$4),_xlpm.feriados,IF($H143="CO",FER_CO,FER_EC),_xlpm.dias,IF(_xlpm.inicio&gt;_xlpm.fin,0,NETWORKDAYS(_xlpm.inicio,_xlpm.fin,_xlpm.feriados)),_xlpm.factor,IF($G143="Probable",IF(Parametros!$B$6="Sí",1,0),1),IF(OR($A143="",$D143="",$E143=""),0,_xlpm.dias*$I143*_xlpm.factor))</f>
        <v/>
      </c>
      <c r="N143" s="33">
        <f>_xlfn.LET(_xlpm.inicio,MAX($D143,N$3),_xlpm.fin,MIN($E143,N$4),_xlpm.feriados,IF($H143="CO",FER_CO,FER_EC),_xlpm.dias,IF(_xlpm.inicio&gt;_xlpm.fin,0,NETWORKDAYS(_xlpm.inicio,_xlpm.fin,_xlpm.feriados)),_xlpm.factor,IF($G143="Probable",IF(Parametros!$B$6="Sí",1,0),1),IF(OR($A143="",$D143="",$E143=""),0,_xlpm.dias*$I143*_xlpm.factor))</f>
        <v/>
      </c>
      <c r="O143" s="33">
        <f>_xlfn.LET(_xlpm.inicio,MAX($D143,O$3),_xlpm.fin,MIN($E143,O$4),_xlpm.feriados,IF($H143="CO",FER_CO,FER_EC),_xlpm.dias,IF(_xlpm.inicio&gt;_xlpm.fin,0,NETWORKDAYS(_xlpm.inicio,_xlpm.fin,_xlpm.feriados)),_xlpm.factor,IF($G143="Probable",IF(Parametros!$B$6="Sí",1,0),1),IF(OR($A143="",$D143="",$E143=""),0,_xlpm.dias*$I143*_xlpm.factor))</f>
        <v/>
      </c>
      <c r="P143" s="34">
        <f>_xlfn.LET(_xlpm.horas,J143,_xlpm.feriados,IF($H143="CO",FER_CO,FER_EC),_xlpm.capacidad,NETWORKDAYS(J$3,J$4,_xlpm.feriados)*INDEX(Consultores!$C$6:$C$65,MATCH($A143,Consultores!$A$6:$A$65,0)),IF(_xlpm.horas=0,"",IFERROR(_xlpm.horas/_xlpm.capacidad,"")))</f>
        <v/>
      </c>
      <c r="Q143" s="34">
        <f>_xlfn.LET(_xlpm.horas,K143,_xlpm.feriados,IF($H143="CO",FER_CO,FER_EC),_xlpm.capacidad,NETWORKDAYS(K$3,K$4,_xlpm.feriados)*INDEX(Consultores!$C$6:$C$65,MATCH($A143,Consultores!$A$6:$A$65,0)),IF(_xlpm.horas=0,"",IFERROR(_xlpm.horas/_xlpm.capacidad,"")))</f>
        <v/>
      </c>
      <c r="R143" s="34">
        <f>_xlfn.LET(_xlpm.horas,L143,_xlpm.feriados,IF($H143="CO",FER_CO,FER_EC),_xlpm.capacidad,NETWORKDAYS(L$3,L$4,_xlpm.feriados)*INDEX(Consultores!$C$6:$C$65,MATCH($A143,Consultores!$A$6:$A$65,0)),IF(_xlpm.horas=0,"",IFERROR(_xlpm.horas/_xlpm.capacidad,"")))</f>
        <v/>
      </c>
      <c r="S143" s="34">
        <f>_xlfn.LET(_xlpm.horas,M143,_xlpm.feriados,IF($H143="CO",FER_CO,FER_EC),_xlpm.capacidad,NETWORKDAYS(M$3,M$4,_xlpm.feriados)*INDEX(Consultores!$C$6:$C$65,MATCH($A143,Consultores!$A$6:$A$65,0)),IF(_xlpm.horas=0,"",IFERROR(_xlpm.horas/_xlpm.capacidad,"")))</f>
        <v/>
      </c>
      <c r="T143" s="34">
        <f>_xlfn.LET(_xlpm.horas,N143,_xlpm.feriados,IF($H143="CO",FER_CO,FER_EC),_xlpm.capacidad,NETWORKDAYS(N$3,N$4,_xlpm.feriados)*INDEX(Consultores!$C$6:$C$65,MATCH($A143,Consultores!$A$6:$A$65,0)),IF(_xlpm.horas=0,"",IFERROR(_xlpm.horas/_xlpm.capacidad,"")))</f>
        <v/>
      </c>
      <c r="U143" s="34">
        <f>_xlfn.LET(_xlpm.horas,O143,_xlpm.feriados,IF($H143="CO",FER_CO,FER_EC),_xlpm.capacidad,NETWORKDAYS(O$3,O$4,_xlpm.feriados)*INDEX(Consultores!$C$6:$C$65,MATCH($A143,Consultores!$A$6:$A$65,0)),IF(_xlpm.horas=0,"",IFERROR(_xlpm.horas/_xlpm.capacidad,"")))</f>
        <v/>
      </c>
    </row>
    <row r="144">
      <c r="A144" s="25" t="n"/>
      <c r="B144" s="25" t="n"/>
      <c r="C144" s="25" t="n"/>
      <c r="D144" s="30" t="n"/>
      <c r="E144" s="30" t="n"/>
      <c r="F144" s="26" t="n"/>
      <c r="G144" s="25" t="n"/>
      <c r="H144" s="31">
        <f>IF($A144="","",IFERROR(INDEX(Consultores!$B$6:$B$65,MATCH($A144,Consultores!$A$6:$A$65,0)),"No existe"))</f>
        <v/>
      </c>
      <c r="I144" s="32">
        <f>IF($F144="",0,$F144/5)</f>
        <v/>
      </c>
      <c r="J144" s="33">
        <f>_xlfn.LET(_xlpm.inicio,MAX($D144,J$3),_xlpm.fin,MIN($E144,J$4),_xlpm.feriados,IF($H144="CO",FER_CO,FER_EC),_xlpm.dias,IF(_xlpm.inicio&gt;_xlpm.fin,0,NETWORKDAYS(_xlpm.inicio,_xlpm.fin,_xlpm.feriados)),_xlpm.factor,IF($G144="Probable",IF(Parametros!$B$6="Sí",1,0),1),IF(OR($A144="",$D144="",$E144=""),0,_xlpm.dias*$I144*_xlpm.factor))</f>
        <v/>
      </c>
      <c r="K144" s="33">
        <f>_xlfn.LET(_xlpm.inicio,MAX($D144,K$3),_xlpm.fin,MIN($E144,K$4),_xlpm.feriados,IF($H144="CO",FER_CO,FER_EC),_xlpm.dias,IF(_xlpm.inicio&gt;_xlpm.fin,0,NETWORKDAYS(_xlpm.inicio,_xlpm.fin,_xlpm.feriados)),_xlpm.factor,IF($G144="Probable",IF(Parametros!$B$6="Sí",1,0),1),IF(OR($A144="",$D144="",$E144=""),0,_xlpm.dias*$I144*_xlpm.factor))</f>
        <v/>
      </c>
      <c r="L144" s="33">
        <f>_xlfn.LET(_xlpm.inicio,MAX($D144,L$3),_xlpm.fin,MIN($E144,L$4),_xlpm.feriados,IF($H144="CO",FER_CO,FER_EC),_xlpm.dias,IF(_xlpm.inicio&gt;_xlpm.fin,0,NETWORKDAYS(_xlpm.inicio,_xlpm.fin,_xlpm.feriados)),_xlpm.factor,IF($G144="Probable",IF(Parametros!$B$6="Sí",1,0),1),IF(OR($A144="",$D144="",$E144=""),0,_xlpm.dias*$I144*_xlpm.factor))</f>
        <v/>
      </c>
      <c r="M144" s="33">
        <f>_xlfn.LET(_xlpm.inicio,MAX($D144,M$3),_xlpm.fin,MIN($E144,M$4),_xlpm.feriados,IF($H144="CO",FER_CO,FER_EC),_xlpm.dias,IF(_xlpm.inicio&gt;_xlpm.fin,0,NETWORKDAYS(_xlpm.inicio,_xlpm.fin,_xlpm.feriados)),_xlpm.factor,IF($G144="Probable",IF(Parametros!$B$6="Sí",1,0),1),IF(OR($A144="",$D144="",$E144=""),0,_xlpm.dias*$I144*_xlpm.factor))</f>
        <v/>
      </c>
      <c r="N144" s="33">
        <f>_xlfn.LET(_xlpm.inicio,MAX($D144,N$3),_xlpm.fin,MIN($E144,N$4),_xlpm.feriados,IF($H144="CO",FER_CO,FER_EC),_xlpm.dias,IF(_xlpm.inicio&gt;_xlpm.fin,0,NETWORKDAYS(_xlpm.inicio,_xlpm.fin,_xlpm.feriados)),_xlpm.factor,IF($G144="Probable",IF(Parametros!$B$6="Sí",1,0),1),IF(OR($A144="",$D144="",$E144=""),0,_xlpm.dias*$I144*_xlpm.factor))</f>
        <v/>
      </c>
      <c r="O144" s="33">
        <f>_xlfn.LET(_xlpm.inicio,MAX($D144,O$3),_xlpm.fin,MIN($E144,O$4),_xlpm.feriados,IF($H144="CO",FER_CO,FER_EC),_xlpm.dias,IF(_xlpm.inicio&gt;_xlpm.fin,0,NETWORKDAYS(_xlpm.inicio,_xlpm.fin,_xlpm.feriados)),_xlpm.factor,IF($G144="Probable",IF(Parametros!$B$6="Sí",1,0),1),IF(OR($A144="",$D144="",$E144=""),0,_xlpm.dias*$I144*_xlpm.factor))</f>
        <v/>
      </c>
      <c r="P144" s="34">
        <f>_xlfn.LET(_xlpm.horas,J144,_xlpm.feriados,IF($H144="CO",FER_CO,FER_EC),_xlpm.capacidad,NETWORKDAYS(J$3,J$4,_xlpm.feriados)*INDEX(Consultores!$C$6:$C$65,MATCH($A144,Consultores!$A$6:$A$65,0)),IF(_xlpm.horas=0,"",IFERROR(_xlpm.horas/_xlpm.capacidad,"")))</f>
        <v/>
      </c>
      <c r="Q144" s="34">
        <f>_xlfn.LET(_xlpm.horas,K144,_xlpm.feriados,IF($H144="CO",FER_CO,FER_EC),_xlpm.capacidad,NETWORKDAYS(K$3,K$4,_xlpm.feriados)*INDEX(Consultores!$C$6:$C$65,MATCH($A144,Consultores!$A$6:$A$65,0)),IF(_xlpm.horas=0,"",IFERROR(_xlpm.horas/_xlpm.capacidad,"")))</f>
        <v/>
      </c>
      <c r="R144" s="34">
        <f>_xlfn.LET(_xlpm.horas,L144,_xlpm.feriados,IF($H144="CO",FER_CO,FER_EC),_xlpm.capacidad,NETWORKDAYS(L$3,L$4,_xlpm.feriados)*INDEX(Consultores!$C$6:$C$65,MATCH($A144,Consultores!$A$6:$A$65,0)),IF(_xlpm.horas=0,"",IFERROR(_xlpm.horas/_xlpm.capacidad,"")))</f>
        <v/>
      </c>
      <c r="S144" s="34">
        <f>_xlfn.LET(_xlpm.horas,M144,_xlpm.feriados,IF($H144="CO",FER_CO,FER_EC),_xlpm.capacidad,NETWORKDAYS(M$3,M$4,_xlpm.feriados)*INDEX(Consultores!$C$6:$C$65,MATCH($A144,Consultores!$A$6:$A$65,0)),IF(_xlpm.horas=0,"",IFERROR(_xlpm.horas/_xlpm.capacidad,"")))</f>
        <v/>
      </c>
      <c r="T144" s="34">
        <f>_xlfn.LET(_xlpm.horas,N144,_xlpm.feriados,IF($H144="CO",FER_CO,FER_EC),_xlpm.capacidad,NETWORKDAYS(N$3,N$4,_xlpm.feriados)*INDEX(Consultores!$C$6:$C$65,MATCH($A144,Consultores!$A$6:$A$65,0)),IF(_xlpm.horas=0,"",IFERROR(_xlpm.horas/_xlpm.capacidad,"")))</f>
        <v/>
      </c>
      <c r="U144" s="34">
        <f>_xlfn.LET(_xlpm.horas,O144,_xlpm.feriados,IF($H144="CO",FER_CO,FER_EC),_xlpm.capacidad,NETWORKDAYS(O$3,O$4,_xlpm.feriados)*INDEX(Consultores!$C$6:$C$65,MATCH($A144,Consultores!$A$6:$A$65,0)),IF(_xlpm.horas=0,"",IFERROR(_xlpm.horas/_xlpm.capacidad,"")))</f>
        <v/>
      </c>
    </row>
    <row r="145">
      <c r="A145" s="25" t="n"/>
      <c r="B145" s="25" t="n"/>
      <c r="C145" s="25" t="n"/>
      <c r="D145" s="30" t="n"/>
      <c r="E145" s="30" t="n"/>
      <c r="F145" s="26" t="n"/>
      <c r="G145" s="25" t="n"/>
      <c r="H145" s="31">
        <f>IF($A145="","",IFERROR(INDEX(Consultores!$B$6:$B$65,MATCH($A145,Consultores!$A$6:$A$65,0)),"No existe"))</f>
        <v/>
      </c>
      <c r="I145" s="32">
        <f>IF($F145="",0,$F145/5)</f>
        <v/>
      </c>
      <c r="J145" s="33">
        <f>_xlfn.LET(_xlpm.inicio,MAX($D145,J$3),_xlpm.fin,MIN($E145,J$4),_xlpm.feriados,IF($H145="CO",FER_CO,FER_EC),_xlpm.dias,IF(_xlpm.inicio&gt;_xlpm.fin,0,NETWORKDAYS(_xlpm.inicio,_xlpm.fin,_xlpm.feriados)),_xlpm.factor,IF($G145="Probable",IF(Parametros!$B$6="Sí",1,0),1),IF(OR($A145="",$D145="",$E145=""),0,_xlpm.dias*$I145*_xlpm.factor))</f>
        <v/>
      </c>
      <c r="K145" s="33">
        <f>_xlfn.LET(_xlpm.inicio,MAX($D145,K$3),_xlpm.fin,MIN($E145,K$4),_xlpm.feriados,IF($H145="CO",FER_CO,FER_EC),_xlpm.dias,IF(_xlpm.inicio&gt;_xlpm.fin,0,NETWORKDAYS(_xlpm.inicio,_xlpm.fin,_xlpm.feriados)),_xlpm.factor,IF($G145="Probable",IF(Parametros!$B$6="Sí",1,0),1),IF(OR($A145="",$D145="",$E145=""),0,_xlpm.dias*$I145*_xlpm.factor))</f>
        <v/>
      </c>
      <c r="L145" s="33">
        <f>_xlfn.LET(_xlpm.inicio,MAX($D145,L$3),_xlpm.fin,MIN($E145,L$4),_xlpm.feriados,IF($H145="CO",FER_CO,FER_EC),_xlpm.dias,IF(_xlpm.inicio&gt;_xlpm.fin,0,NETWORKDAYS(_xlpm.inicio,_xlpm.fin,_xlpm.feriados)),_xlpm.factor,IF($G145="Probable",IF(Parametros!$B$6="Sí",1,0),1),IF(OR($A145="",$D145="",$E145=""),0,_xlpm.dias*$I145*_xlpm.factor))</f>
        <v/>
      </c>
      <c r="M145" s="33">
        <f>_xlfn.LET(_xlpm.inicio,MAX($D145,M$3),_xlpm.fin,MIN($E145,M$4),_xlpm.feriados,IF($H145="CO",FER_CO,FER_EC),_xlpm.dias,IF(_xlpm.inicio&gt;_xlpm.fin,0,NETWORKDAYS(_xlpm.inicio,_xlpm.fin,_xlpm.feriados)),_xlpm.factor,IF($G145="Probable",IF(Parametros!$B$6="Sí",1,0),1),IF(OR($A145="",$D145="",$E145=""),0,_xlpm.dias*$I145*_xlpm.factor))</f>
        <v/>
      </c>
      <c r="N145" s="33">
        <f>_xlfn.LET(_xlpm.inicio,MAX($D145,N$3),_xlpm.fin,MIN($E145,N$4),_xlpm.feriados,IF($H145="CO",FER_CO,FER_EC),_xlpm.dias,IF(_xlpm.inicio&gt;_xlpm.fin,0,NETWORKDAYS(_xlpm.inicio,_xlpm.fin,_xlpm.feriados)),_xlpm.factor,IF($G145="Probable",IF(Parametros!$B$6="Sí",1,0),1),IF(OR($A145="",$D145="",$E145=""),0,_xlpm.dias*$I145*_xlpm.factor))</f>
        <v/>
      </c>
      <c r="O145" s="33">
        <f>_xlfn.LET(_xlpm.inicio,MAX($D145,O$3),_xlpm.fin,MIN($E145,O$4),_xlpm.feriados,IF($H145="CO",FER_CO,FER_EC),_xlpm.dias,IF(_xlpm.inicio&gt;_xlpm.fin,0,NETWORKDAYS(_xlpm.inicio,_xlpm.fin,_xlpm.feriados)),_xlpm.factor,IF($G145="Probable",IF(Parametros!$B$6="Sí",1,0),1),IF(OR($A145="",$D145="",$E145=""),0,_xlpm.dias*$I145*_xlpm.factor))</f>
        <v/>
      </c>
      <c r="P145" s="34">
        <f>_xlfn.LET(_xlpm.horas,J145,_xlpm.feriados,IF($H145="CO",FER_CO,FER_EC),_xlpm.capacidad,NETWORKDAYS(J$3,J$4,_xlpm.feriados)*INDEX(Consultores!$C$6:$C$65,MATCH($A145,Consultores!$A$6:$A$65,0)),IF(_xlpm.horas=0,"",IFERROR(_xlpm.horas/_xlpm.capacidad,"")))</f>
        <v/>
      </c>
      <c r="Q145" s="34">
        <f>_xlfn.LET(_xlpm.horas,K145,_xlpm.feriados,IF($H145="CO",FER_CO,FER_EC),_xlpm.capacidad,NETWORKDAYS(K$3,K$4,_xlpm.feriados)*INDEX(Consultores!$C$6:$C$65,MATCH($A145,Consultores!$A$6:$A$65,0)),IF(_xlpm.horas=0,"",IFERROR(_xlpm.horas/_xlpm.capacidad,"")))</f>
        <v/>
      </c>
      <c r="R145" s="34">
        <f>_xlfn.LET(_xlpm.horas,L145,_xlpm.feriados,IF($H145="CO",FER_CO,FER_EC),_xlpm.capacidad,NETWORKDAYS(L$3,L$4,_xlpm.feriados)*INDEX(Consultores!$C$6:$C$65,MATCH($A145,Consultores!$A$6:$A$65,0)),IF(_xlpm.horas=0,"",IFERROR(_xlpm.horas/_xlpm.capacidad,"")))</f>
        <v/>
      </c>
      <c r="S145" s="34">
        <f>_xlfn.LET(_xlpm.horas,M145,_xlpm.feriados,IF($H145="CO",FER_CO,FER_EC),_xlpm.capacidad,NETWORKDAYS(M$3,M$4,_xlpm.feriados)*INDEX(Consultores!$C$6:$C$65,MATCH($A145,Consultores!$A$6:$A$65,0)),IF(_xlpm.horas=0,"",IFERROR(_xlpm.horas/_xlpm.capacidad,"")))</f>
        <v/>
      </c>
      <c r="T145" s="34">
        <f>_xlfn.LET(_xlpm.horas,N145,_xlpm.feriados,IF($H145="CO",FER_CO,FER_EC),_xlpm.capacidad,NETWORKDAYS(N$3,N$4,_xlpm.feriados)*INDEX(Consultores!$C$6:$C$65,MATCH($A145,Consultores!$A$6:$A$65,0)),IF(_xlpm.horas=0,"",IFERROR(_xlpm.horas/_xlpm.capacidad,"")))</f>
        <v/>
      </c>
      <c r="U145" s="34">
        <f>_xlfn.LET(_xlpm.horas,O145,_xlpm.feriados,IF($H145="CO",FER_CO,FER_EC),_xlpm.capacidad,NETWORKDAYS(O$3,O$4,_xlpm.feriados)*INDEX(Consultores!$C$6:$C$65,MATCH($A145,Consultores!$A$6:$A$65,0)),IF(_xlpm.horas=0,"",IFERROR(_xlpm.horas/_xlpm.capacidad,"")))</f>
        <v/>
      </c>
    </row>
    <row r="146">
      <c r="A146" s="25" t="n"/>
      <c r="B146" s="25" t="n"/>
      <c r="C146" s="25" t="n"/>
      <c r="D146" s="30" t="n"/>
      <c r="E146" s="30" t="n"/>
      <c r="F146" s="26" t="n"/>
      <c r="G146" s="25" t="n"/>
      <c r="H146" s="31">
        <f>IF($A146="","",IFERROR(INDEX(Consultores!$B$6:$B$65,MATCH($A146,Consultores!$A$6:$A$65,0)),"No existe"))</f>
        <v/>
      </c>
      <c r="I146" s="32">
        <f>IF($F146="",0,$F146/5)</f>
        <v/>
      </c>
      <c r="J146" s="33">
        <f>_xlfn.LET(_xlpm.inicio,MAX($D146,J$3),_xlpm.fin,MIN($E146,J$4),_xlpm.feriados,IF($H146="CO",FER_CO,FER_EC),_xlpm.dias,IF(_xlpm.inicio&gt;_xlpm.fin,0,NETWORKDAYS(_xlpm.inicio,_xlpm.fin,_xlpm.feriados)),_xlpm.factor,IF($G146="Probable",IF(Parametros!$B$6="Sí",1,0),1),IF(OR($A146="",$D146="",$E146=""),0,_xlpm.dias*$I146*_xlpm.factor))</f>
        <v/>
      </c>
      <c r="K146" s="33">
        <f>_xlfn.LET(_xlpm.inicio,MAX($D146,K$3),_xlpm.fin,MIN($E146,K$4),_xlpm.feriados,IF($H146="CO",FER_CO,FER_EC),_xlpm.dias,IF(_xlpm.inicio&gt;_xlpm.fin,0,NETWORKDAYS(_xlpm.inicio,_xlpm.fin,_xlpm.feriados)),_xlpm.factor,IF($G146="Probable",IF(Parametros!$B$6="Sí",1,0),1),IF(OR($A146="",$D146="",$E146=""),0,_xlpm.dias*$I146*_xlpm.factor))</f>
        <v/>
      </c>
      <c r="L146" s="33">
        <f>_xlfn.LET(_xlpm.inicio,MAX($D146,L$3),_xlpm.fin,MIN($E146,L$4),_xlpm.feriados,IF($H146="CO",FER_CO,FER_EC),_xlpm.dias,IF(_xlpm.inicio&gt;_xlpm.fin,0,NETWORKDAYS(_xlpm.inicio,_xlpm.fin,_xlpm.feriados)),_xlpm.factor,IF($G146="Probable",IF(Parametros!$B$6="Sí",1,0),1),IF(OR($A146="",$D146="",$E146=""),0,_xlpm.dias*$I146*_xlpm.factor))</f>
        <v/>
      </c>
      <c r="M146" s="33">
        <f>_xlfn.LET(_xlpm.inicio,MAX($D146,M$3),_xlpm.fin,MIN($E146,M$4),_xlpm.feriados,IF($H146="CO",FER_CO,FER_EC),_xlpm.dias,IF(_xlpm.inicio&gt;_xlpm.fin,0,NETWORKDAYS(_xlpm.inicio,_xlpm.fin,_xlpm.feriados)),_xlpm.factor,IF($G146="Probable",IF(Parametros!$B$6="Sí",1,0),1),IF(OR($A146="",$D146="",$E146=""),0,_xlpm.dias*$I146*_xlpm.factor))</f>
        <v/>
      </c>
      <c r="N146" s="33">
        <f>_xlfn.LET(_xlpm.inicio,MAX($D146,N$3),_xlpm.fin,MIN($E146,N$4),_xlpm.feriados,IF($H146="CO",FER_CO,FER_EC),_xlpm.dias,IF(_xlpm.inicio&gt;_xlpm.fin,0,NETWORKDAYS(_xlpm.inicio,_xlpm.fin,_xlpm.feriados)),_xlpm.factor,IF($G146="Probable",IF(Parametros!$B$6="Sí",1,0),1),IF(OR($A146="",$D146="",$E146=""),0,_xlpm.dias*$I146*_xlpm.factor))</f>
        <v/>
      </c>
      <c r="O146" s="33">
        <f>_xlfn.LET(_xlpm.inicio,MAX($D146,O$3),_xlpm.fin,MIN($E146,O$4),_xlpm.feriados,IF($H146="CO",FER_CO,FER_EC),_xlpm.dias,IF(_xlpm.inicio&gt;_xlpm.fin,0,NETWORKDAYS(_xlpm.inicio,_xlpm.fin,_xlpm.feriados)),_xlpm.factor,IF($G146="Probable",IF(Parametros!$B$6="Sí",1,0),1),IF(OR($A146="",$D146="",$E146=""),0,_xlpm.dias*$I146*_xlpm.factor))</f>
        <v/>
      </c>
      <c r="P146" s="34">
        <f>_xlfn.LET(_xlpm.horas,J146,_xlpm.feriados,IF($H146="CO",FER_CO,FER_EC),_xlpm.capacidad,NETWORKDAYS(J$3,J$4,_xlpm.feriados)*INDEX(Consultores!$C$6:$C$65,MATCH($A146,Consultores!$A$6:$A$65,0)),IF(_xlpm.horas=0,"",IFERROR(_xlpm.horas/_xlpm.capacidad,"")))</f>
        <v/>
      </c>
      <c r="Q146" s="34">
        <f>_xlfn.LET(_xlpm.horas,K146,_xlpm.feriados,IF($H146="CO",FER_CO,FER_EC),_xlpm.capacidad,NETWORKDAYS(K$3,K$4,_xlpm.feriados)*INDEX(Consultores!$C$6:$C$65,MATCH($A146,Consultores!$A$6:$A$65,0)),IF(_xlpm.horas=0,"",IFERROR(_xlpm.horas/_xlpm.capacidad,"")))</f>
        <v/>
      </c>
      <c r="R146" s="34">
        <f>_xlfn.LET(_xlpm.horas,L146,_xlpm.feriados,IF($H146="CO",FER_CO,FER_EC),_xlpm.capacidad,NETWORKDAYS(L$3,L$4,_xlpm.feriados)*INDEX(Consultores!$C$6:$C$65,MATCH($A146,Consultores!$A$6:$A$65,0)),IF(_xlpm.horas=0,"",IFERROR(_xlpm.horas/_xlpm.capacidad,"")))</f>
        <v/>
      </c>
      <c r="S146" s="34">
        <f>_xlfn.LET(_xlpm.horas,M146,_xlpm.feriados,IF($H146="CO",FER_CO,FER_EC),_xlpm.capacidad,NETWORKDAYS(M$3,M$4,_xlpm.feriados)*INDEX(Consultores!$C$6:$C$65,MATCH($A146,Consultores!$A$6:$A$65,0)),IF(_xlpm.horas=0,"",IFERROR(_xlpm.horas/_xlpm.capacidad,"")))</f>
        <v/>
      </c>
      <c r="T146" s="34">
        <f>_xlfn.LET(_xlpm.horas,N146,_xlpm.feriados,IF($H146="CO",FER_CO,FER_EC),_xlpm.capacidad,NETWORKDAYS(N$3,N$4,_xlpm.feriados)*INDEX(Consultores!$C$6:$C$65,MATCH($A146,Consultores!$A$6:$A$65,0)),IF(_xlpm.horas=0,"",IFERROR(_xlpm.horas/_xlpm.capacidad,"")))</f>
        <v/>
      </c>
      <c r="U146" s="34">
        <f>_xlfn.LET(_xlpm.horas,O146,_xlpm.feriados,IF($H146="CO",FER_CO,FER_EC),_xlpm.capacidad,NETWORKDAYS(O$3,O$4,_xlpm.feriados)*INDEX(Consultores!$C$6:$C$65,MATCH($A146,Consultores!$A$6:$A$65,0)),IF(_xlpm.horas=0,"",IFERROR(_xlpm.horas/_xlpm.capacidad,"")))</f>
        <v/>
      </c>
    </row>
    <row r="147">
      <c r="A147" s="25" t="n"/>
      <c r="B147" s="25" t="n"/>
      <c r="C147" s="25" t="n"/>
      <c r="D147" s="30" t="n"/>
      <c r="E147" s="30" t="n"/>
      <c r="F147" s="26" t="n"/>
      <c r="G147" s="25" t="n"/>
      <c r="H147" s="31">
        <f>IF($A147="","",IFERROR(INDEX(Consultores!$B$6:$B$65,MATCH($A147,Consultores!$A$6:$A$65,0)),"No existe"))</f>
        <v/>
      </c>
      <c r="I147" s="32">
        <f>IF($F147="",0,$F147/5)</f>
        <v/>
      </c>
      <c r="J147" s="33">
        <f>_xlfn.LET(_xlpm.inicio,MAX($D147,J$3),_xlpm.fin,MIN($E147,J$4),_xlpm.feriados,IF($H147="CO",FER_CO,FER_EC),_xlpm.dias,IF(_xlpm.inicio&gt;_xlpm.fin,0,NETWORKDAYS(_xlpm.inicio,_xlpm.fin,_xlpm.feriados)),_xlpm.factor,IF($G147="Probable",IF(Parametros!$B$6="Sí",1,0),1),IF(OR($A147="",$D147="",$E147=""),0,_xlpm.dias*$I147*_xlpm.factor))</f>
        <v/>
      </c>
      <c r="K147" s="33">
        <f>_xlfn.LET(_xlpm.inicio,MAX($D147,K$3),_xlpm.fin,MIN($E147,K$4),_xlpm.feriados,IF($H147="CO",FER_CO,FER_EC),_xlpm.dias,IF(_xlpm.inicio&gt;_xlpm.fin,0,NETWORKDAYS(_xlpm.inicio,_xlpm.fin,_xlpm.feriados)),_xlpm.factor,IF($G147="Probable",IF(Parametros!$B$6="Sí",1,0),1),IF(OR($A147="",$D147="",$E147=""),0,_xlpm.dias*$I147*_xlpm.factor))</f>
        <v/>
      </c>
      <c r="L147" s="33">
        <f>_xlfn.LET(_xlpm.inicio,MAX($D147,L$3),_xlpm.fin,MIN($E147,L$4),_xlpm.feriados,IF($H147="CO",FER_CO,FER_EC),_xlpm.dias,IF(_xlpm.inicio&gt;_xlpm.fin,0,NETWORKDAYS(_xlpm.inicio,_xlpm.fin,_xlpm.feriados)),_xlpm.factor,IF($G147="Probable",IF(Parametros!$B$6="Sí",1,0),1),IF(OR($A147="",$D147="",$E147=""),0,_xlpm.dias*$I147*_xlpm.factor))</f>
        <v/>
      </c>
      <c r="M147" s="33">
        <f>_xlfn.LET(_xlpm.inicio,MAX($D147,M$3),_xlpm.fin,MIN($E147,M$4),_xlpm.feriados,IF($H147="CO",FER_CO,FER_EC),_xlpm.dias,IF(_xlpm.inicio&gt;_xlpm.fin,0,NETWORKDAYS(_xlpm.inicio,_xlpm.fin,_xlpm.feriados)),_xlpm.factor,IF($G147="Probable",IF(Parametros!$B$6="Sí",1,0),1),IF(OR($A147="",$D147="",$E147=""),0,_xlpm.dias*$I147*_xlpm.factor))</f>
        <v/>
      </c>
      <c r="N147" s="33">
        <f>_xlfn.LET(_xlpm.inicio,MAX($D147,N$3),_xlpm.fin,MIN($E147,N$4),_xlpm.feriados,IF($H147="CO",FER_CO,FER_EC),_xlpm.dias,IF(_xlpm.inicio&gt;_xlpm.fin,0,NETWORKDAYS(_xlpm.inicio,_xlpm.fin,_xlpm.feriados)),_xlpm.factor,IF($G147="Probable",IF(Parametros!$B$6="Sí",1,0),1),IF(OR($A147="",$D147="",$E147=""),0,_xlpm.dias*$I147*_xlpm.factor))</f>
        <v/>
      </c>
      <c r="O147" s="33">
        <f>_xlfn.LET(_xlpm.inicio,MAX($D147,O$3),_xlpm.fin,MIN($E147,O$4),_xlpm.feriados,IF($H147="CO",FER_CO,FER_EC),_xlpm.dias,IF(_xlpm.inicio&gt;_xlpm.fin,0,NETWORKDAYS(_xlpm.inicio,_xlpm.fin,_xlpm.feriados)),_xlpm.factor,IF($G147="Probable",IF(Parametros!$B$6="Sí",1,0),1),IF(OR($A147="",$D147="",$E147=""),0,_xlpm.dias*$I147*_xlpm.factor))</f>
        <v/>
      </c>
      <c r="P147" s="34">
        <f>_xlfn.LET(_xlpm.horas,J147,_xlpm.feriados,IF($H147="CO",FER_CO,FER_EC),_xlpm.capacidad,NETWORKDAYS(J$3,J$4,_xlpm.feriados)*INDEX(Consultores!$C$6:$C$65,MATCH($A147,Consultores!$A$6:$A$65,0)),IF(_xlpm.horas=0,"",IFERROR(_xlpm.horas/_xlpm.capacidad,"")))</f>
        <v/>
      </c>
      <c r="Q147" s="34">
        <f>_xlfn.LET(_xlpm.horas,K147,_xlpm.feriados,IF($H147="CO",FER_CO,FER_EC),_xlpm.capacidad,NETWORKDAYS(K$3,K$4,_xlpm.feriados)*INDEX(Consultores!$C$6:$C$65,MATCH($A147,Consultores!$A$6:$A$65,0)),IF(_xlpm.horas=0,"",IFERROR(_xlpm.horas/_xlpm.capacidad,"")))</f>
        <v/>
      </c>
      <c r="R147" s="34">
        <f>_xlfn.LET(_xlpm.horas,L147,_xlpm.feriados,IF($H147="CO",FER_CO,FER_EC),_xlpm.capacidad,NETWORKDAYS(L$3,L$4,_xlpm.feriados)*INDEX(Consultores!$C$6:$C$65,MATCH($A147,Consultores!$A$6:$A$65,0)),IF(_xlpm.horas=0,"",IFERROR(_xlpm.horas/_xlpm.capacidad,"")))</f>
        <v/>
      </c>
      <c r="S147" s="34">
        <f>_xlfn.LET(_xlpm.horas,M147,_xlpm.feriados,IF($H147="CO",FER_CO,FER_EC),_xlpm.capacidad,NETWORKDAYS(M$3,M$4,_xlpm.feriados)*INDEX(Consultores!$C$6:$C$65,MATCH($A147,Consultores!$A$6:$A$65,0)),IF(_xlpm.horas=0,"",IFERROR(_xlpm.horas/_xlpm.capacidad,"")))</f>
        <v/>
      </c>
      <c r="T147" s="34">
        <f>_xlfn.LET(_xlpm.horas,N147,_xlpm.feriados,IF($H147="CO",FER_CO,FER_EC),_xlpm.capacidad,NETWORKDAYS(N$3,N$4,_xlpm.feriados)*INDEX(Consultores!$C$6:$C$65,MATCH($A147,Consultores!$A$6:$A$65,0)),IF(_xlpm.horas=0,"",IFERROR(_xlpm.horas/_xlpm.capacidad,"")))</f>
        <v/>
      </c>
      <c r="U147" s="34">
        <f>_xlfn.LET(_xlpm.horas,O147,_xlpm.feriados,IF($H147="CO",FER_CO,FER_EC),_xlpm.capacidad,NETWORKDAYS(O$3,O$4,_xlpm.feriados)*INDEX(Consultores!$C$6:$C$65,MATCH($A147,Consultores!$A$6:$A$65,0)),IF(_xlpm.horas=0,"",IFERROR(_xlpm.horas/_xlpm.capacidad,"")))</f>
        <v/>
      </c>
    </row>
    <row r="148">
      <c r="A148" s="25" t="n"/>
      <c r="B148" s="25" t="n"/>
      <c r="C148" s="25" t="n"/>
      <c r="D148" s="30" t="n"/>
      <c r="E148" s="30" t="n"/>
      <c r="F148" s="26" t="n"/>
      <c r="G148" s="25" t="n"/>
      <c r="H148" s="31">
        <f>IF($A148="","",IFERROR(INDEX(Consultores!$B$6:$B$65,MATCH($A148,Consultores!$A$6:$A$65,0)),"No existe"))</f>
        <v/>
      </c>
      <c r="I148" s="32">
        <f>IF($F148="",0,$F148/5)</f>
        <v/>
      </c>
      <c r="J148" s="33">
        <f>_xlfn.LET(_xlpm.inicio,MAX($D148,J$3),_xlpm.fin,MIN($E148,J$4),_xlpm.feriados,IF($H148="CO",FER_CO,FER_EC),_xlpm.dias,IF(_xlpm.inicio&gt;_xlpm.fin,0,NETWORKDAYS(_xlpm.inicio,_xlpm.fin,_xlpm.feriados)),_xlpm.factor,IF($G148="Probable",IF(Parametros!$B$6="Sí",1,0),1),IF(OR($A148="",$D148="",$E148=""),0,_xlpm.dias*$I148*_xlpm.factor))</f>
        <v/>
      </c>
      <c r="K148" s="33">
        <f>_xlfn.LET(_xlpm.inicio,MAX($D148,K$3),_xlpm.fin,MIN($E148,K$4),_xlpm.feriados,IF($H148="CO",FER_CO,FER_EC),_xlpm.dias,IF(_xlpm.inicio&gt;_xlpm.fin,0,NETWORKDAYS(_xlpm.inicio,_xlpm.fin,_xlpm.feriados)),_xlpm.factor,IF($G148="Probable",IF(Parametros!$B$6="Sí",1,0),1),IF(OR($A148="",$D148="",$E148=""),0,_xlpm.dias*$I148*_xlpm.factor))</f>
        <v/>
      </c>
      <c r="L148" s="33">
        <f>_xlfn.LET(_xlpm.inicio,MAX($D148,L$3),_xlpm.fin,MIN($E148,L$4),_xlpm.feriados,IF($H148="CO",FER_CO,FER_EC),_xlpm.dias,IF(_xlpm.inicio&gt;_xlpm.fin,0,NETWORKDAYS(_xlpm.inicio,_xlpm.fin,_xlpm.feriados)),_xlpm.factor,IF($G148="Probable",IF(Parametros!$B$6="Sí",1,0),1),IF(OR($A148="",$D148="",$E148=""),0,_xlpm.dias*$I148*_xlpm.factor))</f>
        <v/>
      </c>
      <c r="M148" s="33">
        <f>_xlfn.LET(_xlpm.inicio,MAX($D148,M$3),_xlpm.fin,MIN($E148,M$4),_xlpm.feriados,IF($H148="CO",FER_CO,FER_EC),_xlpm.dias,IF(_xlpm.inicio&gt;_xlpm.fin,0,NETWORKDAYS(_xlpm.inicio,_xlpm.fin,_xlpm.feriados)),_xlpm.factor,IF($G148="Probable",IF(Parametros!$B$6="Sí",1,0),1),IF(OR($A148="",$D148="",$E148=""),0,_xlpm.dias*$I148*_xlpm.factor))</f>
        <v/>
      </c>
      <c r="N148" s="33">
        <f>_xlfn.LET(_xlpm.inicio,MAX($D148,N$3),_xlpm.fin,MIN($E148,N$4),_xlpm.feriados,IF($H148="CO",FER_CO,FER_EC),_xlpm.dias,IF(_xlpm.inicio&gt;_xlpm.fin,0,NETWORKDAYS(_xlpm.inicio,_xlpm.fin,_xlpm.feriados)),_xlpm.factor,IF($G148="Probable",IF(Parametros!$B$6="Sí",1,0),1),IF(OR($A148="",$D148="",$E148=""),0,_xlpm.dias*$I148*_xlpm.factor))</f>
        <v/>
      </c>
      <c r="O148" s="33">
        <f>_xlfn.LET(_xlpm.inicio,MAX($D148,O$3),_xlpm.fin,MIN($E148,O$4),_xlpm.feriados,IF($H148="CO",FER_CO,FER_EC),_xlpm.dias,IF(_xlpm.inicio&gt;_xlpm.fin,0,NETWORKDAYS(_xlpm.inicio,_xlpm.fin,_xlpm.feriados)),_xlpm.factor,IF($G148="Probable",IF(Parametros!$B$6="Sí",1,0),1),IF(OR($A148="",$D148="",$E148=""),0,_xlpm.dias*$I148*_xlpm.factor))</f>
        <v/>
      </c>
      <c r="P148" s="34">
        <f>_xlfn.LET(_xlpm.horas,J148,_xlpm.feriados,IF($H148="CO",FER_CO,FER_EC),_xlpm.capacidad,NETWORKDAYS(J$3,J$4,_xlpm.feriados)*INDEX(Consultores!$C$6:$C$65,MATCH($A148,Consultores!$A$6:$A$65,0)),IF(_xlpm.horas=0,"",IFERROR(_xlpm.horas/_xlpm.capacidad,"")))</f>
        <v/>
      </c>
      <c r="Q148" s="34">
        <f>_xlfn.LET(_xlpm.horas,K148,_xlpm.feriados,IF($H148="CO",FER_CO,FER_EC),_xlpm.capacidad,NETWORKDAYS(K$3,K$4,_xlpm.feriados)*INDEX(Consultores!$C$6:$C$65,MATCH($A148,Consultores!$A$6:$A$65,0)),IF(_xlpm.horas=0,"",IFERROR(_xlpm.horas/_xlpm.capacidad,"")))</f>
        <v/>
      </c>
      <c r="R148" s="34">
        <f>_xlfn.LET(_xlpm.horas,L148,_xlpm.feriados,IF($H148="CO",FER_CO,FER_EC),_xlpm.capacidad,NETWORKDAYS(L$3,L$4,_xlpm.feriados)*INDEX(Consultores!$C$6:$C$65,MATCH($A148,Consultores!$A$6:$A$65,0)),IF(_xlpm.horas=0,"",IFERROR(_xlpm.horas/_xlpm.capacidad,"")))</f>
        <v/>
      </c>
      <c r="S148" s="34">
        <f>_xlfn.LET(_xlpm.horas,M148,_xlpm.feriados,IF($H148="CO",FER_CO,FER_EC),_xlpm.capacidad,NETWORKDAYS(M$3,M$4,_xlpm.feriados)*INDEX(Consultores!$C$6:$C$65,MATCH($A148,Consultores!$A$6:$A$65,0)),IF(_xlpm.horas=0,"",IFERROR(_xlpm.horas/_xlpm.capacidad,"")))</f>
        <v/>
      </c>
      <c r="T148" s="34">
        <f>_xlfn.LET(_xlpm.horas,N148,_xlpm.feriados,IF($H148="CO",FER_CO,FER_EC),_xlpm.capacidad,NETWORKDAYS(N$3,N$4,_xlpm.feriados)*INDEX(Consultores!$C$6:$C$65,MATCH($A148,Consultores!$A$6:$A$65,0)),IF(_xlpm.horas=0,"",IFERROR(_xlpm.horas/_xlpm.capacidad,"")))</f>
        <v/>
      </c>
      <c r="U148" s="34">
        <f>_xlfn.LET(_xlpm.horas,O148,_xlpm.feriados,IF($H148="CO",FER_CO,FER_EC),_xlpm.capacidad,NETWORKDAYS(O$3,O$4,_xlpm.feriados)*INDEX(Consultores!$C$6:$C$65,MATCH($A148,Consultores!$A$6:$A$65,0)),IF(_xlpm.horas=0,"",IFERROR(_xlpm.horas/_xlpm.capacidad,"")))</f>
        <v/>
      </c>
    </row>
    <row r="149">
      <c r="A149" s="25" t="n"/>
      <c r="B149" s="25" t="n"/>
      <c r="C149" s="25" t="n"/>
      <c r="D149" s="30" t="n"/>
      <c r="E149" s="30" t="n"/>
      <c r="F149" s="26" t="n"/>
      <c r="G149" s="25" t="n"/>
      <c r="H149" s="31">
        <f>IF($A149="","",IFERROR(INDEX(Consultores!$B$6:$B$65,MATCH($A149,Consultores!$A$6:$A$65,0)),"No existe"))</f>
        <v/>
      </c>
      <c r="I149" s="32">
        <f>IF($F149="",0,$F149/5)</f>
        <v/>
      </c>
      <c r="J149" s="33">
        <f>_xlfn.LET(_xlpm.inicio,MAX($D149,J$3),_xlpm.fin,MIN($E149,J$4),_xlpm.feriados,IF($H149="CO",FER_CO,FER_EC),_xlpm.dias,IF(_xlpm.inicio&gt;_xlpm.fin,0,NETWORKDAYS(_xlpm.inicio,_xlpm.fin,_xlpm.feriados)),_xlpm.factor,IF($G149="Probable",IF(Parametros!$B$6="Sí",1,0),1),IF(OR($A149="",$D149="",$E149=""),0,_xlpm.dias*$I149*_xlpm.factor))</f>
        <v/>
      </c>
      <c r="K149" s="33">
        <f>_xlfn.LET(_xlpm.inicio,MAX($D149,K$3),_xlpm.fin,MIN($E149,K$4),_xlpm.feriados,IF($H149="CO",FER_CO,FER_EC),_xlpm.dias,IF(_xlpm.inicio&gt;_xlpm.fin,0,NETWORKDAYS(_xlpm.inicio,_xlpm.fin,_xlpm.feriados)),_xlpm.factor,IF($G149="Probable",IF(Parametros!$B$6="Sí",1,0),1),IF(OR($A149="",$D149="",$E149=""),0,_xlpm.dias*$I149*_xlpm.factor))</f>
        <v/>
      </c>
      <c r="L149" s="33">
        <f>_xlfn.LET(_xlpm.inicio,MAX($D149,L$3),_xlpm.fin,MIN($E149,L$4),_xlpm.feriados,IF($H149="CO",FER_CO,FER_EC),_xlpm.dias,IF(_xlpm.inicio&gt;_xlpm.fin,0,NETWORKDAYS(_xlpm.inicio,_xlpm.fin,_xlpm.feriados)),_xlpm.factor,IF($G149="Probable",IF(Parametros!$B$6="Sí",1,0),1),IF(OR($A149="",$D149="",$E149=""),0,_xlpm.dias*$I149*_xlpm.factor))</f>
        <v/>
      </c>
      <c r="M149" s="33">
        <f>_xlfn.LET(_xlpm.inicio,MAX($D149,M$3),_xlpm.fin,MIN($E149,M$4),_xlpm.feriados,IF($H149="CO",FER_CO,FER_EC),_xlpm.dias,IF(_xlpm.inicio&gt;_xlpm.fin,0,NETWORKDAYS(_xlpm.inicio,_xlpm.fin,_xlpm.feriados)),_xlpm.factor,IF($G149="Probable",IF(Parametros!$B$6="Sí",1,0),1),IF(OR($A149="",$D149="",$E149=""),0,_xlpm.dias*$I149*_xlpm.factor))</f>
        <v/>
      </c>
      <c r="N149" s="33">
        <f>_xlfn.LET(_xlpm.inicio,MAX($D149,N$3),_xlpm.fin,MIN($E149,N$4),_xlpm.feriados,IF($H149="CO",FER_CO,FER_EC),_xlpm.dias,IF(_xlpm.inicio&gt;_xlpm.fin,0,NETWORKDAYS(_xlpm.inicio,_xlpm.fin,_xlpm.feriados)),_xlpm.factor,IF($G149="Probable",IF(Parametros!$B$6="Sí",1,0),1),IF(OR($A149="",$D149="",$E149=""),0,_xlpm.dias*$I149*_xlpm.factor))</f>
        <v/>
      </c>
      <c r="O149" s="33">
        <f>_xlfn.LET(_xlpm.inicio,MAX($D149,O$3),_xlpm.fin,MIN($E149,O$4),_xlpm.feriados,IF($H149="CO",FER_CO,FER_EC),_xlpm.dias,IF(_xlpm.inicio&gt;_xlpm.fin,0,NETWORKDAYS(_xlpm.inicio,_xlpm.fin,_xlpm.feriados)),_xlpm.factor,IF($G149="Probable",IF(Parametros!$B$6="Sí",1,0),1),IF(OR($A149="",$D149="",$E149=""),0,_xlpm.dias*$I149*_xlpm.factor))</f>
        <v/>
      </c>
      <c r="P149" s="34">
        <f>_xlfn.LET(_xlpm.horas,J149,_xlpm.feriados,IF($H149="CO",FER_CO,FER_EC),_xlpm.capacidad,NETWORKDAYS(J$3,J$4,_xlpm.feriados)*INDEX(Consultores!$C$6:$C$65,MATCH($A149,Consultores!$A$6:$A$65,0)),IF(_xlpm.horas=0,"",IFERROR(_xlpm.horas/_xlpm.capacidad,"")))</f>
        <v/>
      </c>
      <c r="Q149" s="34">
        <f>_xlfn.LET(_xlpm.horas,K149,_xlpm.feriados,IF($H149="CO",FER_CO,FER_EC),_xlpm.capacidad,NETWORKDAYS(K$3,K$4,_xlpm.feriados)*INDEX(Consultores!$C$6:$C$65,MATCH($A149,Consultores!$A$6:$A$65,0)),IF(_xlpm.horas=0,"",IFERROR(_xlpm.horas/_xlpm.capacidad,"")))</f>
        <v/>
      </c>
      <c r="R149" s="34">
        <f>_xlfn.LET(_xlpm.horas,L149,_xlpm.feriados,IF($H149="CO",FER_CO,FER_EC),_xlpm.capacidad,NETWORKDAYS(L$3,L$4,_xlpm.feriados)*INDEX(Consultores!$C$6:$C$65,MATCH($A149,Consultores!$A$6:$A$65,0)),IF(_xlpm.horas=0,"",IFERROR(_xlpm.horas/_xlpm.capacidad,"")))</f>
        <v/>
      </c>
      <c r="S149" s="34">
        <f>_xlfn.LET(_xlpm.horas,M149,_xlpm.feriados,IF($H149="CO",FER_CO,FER_EC),_xlpm.capacidad,NETWORKDAYS(M$3,M$4,_xlpm.feriados)*INDEX(Consultores!$C$6:$C$65,MATCH($A149,Consultores!$A$6:$A$65,0)),IF(_xlpm.horas=0,"",IFERROR(_xlpm.horas/_xlpm.capacidad,"")))</f>
        <v/>
      </c>
      <c r="T149" s="34">
        <f>_xlfn.LET(_xlpm.horas,N149,_xlpm.feriados,IF($H149="CO",FER_CO,FER_EC),_xlpm.capacidad,NETWORKDAYS(N$3,N$4,_xlpm.feriados)*INDEX(Consultores!$C$6:$C$65,MATCH($A149,Consultores!$A$6:$A$65,0)),IF(_xlpm.horas=0,"",IFERROR(_xlpm.horas/_xlpm.capacidad,"")))</f>
        <v/>
      </c>
      <c r="U149" s="34">
        <f>_xlfn.LET(_xlpm.horas,O149,_xlpm.feriados,IF($H149="CO",FER_CO,FER_EC),_xlpm.capacidad,NETWORKDAYS(O$3,O$4,_xlpm.feriados)*INDEX(Consultores!$C$6:$C$65,MATCH($A149,Consultores!$A$6:$A$65,0)),IF(_xlpm.horas=0,"",IFERROR(_xlpm.horas/_xlpm.capacidad,"")))</f>
        <v/>
      </c>
    </row>
    <row r="150">
      <c r="A150" s="25" t="n"/>
      <c r="B150" s="25" t="n"/>
      <c r="C150" s="25" t="n"/>
      <c r="D150" s="30" t="n"/>
      <c r="E150" s="30" t="n"/>
      <c r="F150" s="26" t="n"/>
      <c r="G150" s="25" t="n"/>
      <c r="H150" s="31">
        <f>IF($A150="","",IFERROR(INDEX(Consultores!$B$6:$B$65,MATCH($A150,Consultores!$A$6:$A$65,0)),"No existe"))</f>
        <v/>
      </c>
      <c r="I150" s="32">
        <f>IF($F150="",0,$F150/5)</f>
        <v/>
      </c>
      <c r="J150" s="33">
        <f>_xlfn.LET(_xlpm.inicio,MAX($D150,J$3),_xlpm.fin,MIN($E150,J$4),_xlpm.feriados,IF($H150="CO",FER_CO,FER_EC),_xlpm.dias,IF(_xlpm.inicio&gt;_xlpm.fin,0,NETWORKDAYS(_xlpm.inicio,_xlpm.fin,_xlpm.feriados)),_xlpm.factor,IF($G150="Probable",IF(Parametros!$B$6="Sí",1,0),1),IF(OR($A150="",$D150="",$E150=""),0,_xlpm.dias*$I150*_xlpm.factor))</f>
        <v/>
      </c>
      <c r="K150" s="33">
        <f>_xlfn.LET(_xlpm.inicio,MAX($D150,K$3),_xlpm.fin,MIN($E150,K$4),_xlpm.feriados,IF($H150="CO",FER_CO,FER_EC),_xlpm.dias,IF(_xlpm.inicio&gt;_xlpm.fin,0,NETWORKDAYS(_xlpm.inicio,_xlpm.fin,_xlpm.feriados)),_xlpm.factor,IF($G150="Probable",IF(Parametros!$B$6="Sí",1,0),1),IF(OR($A150="",$D150="",$E150=""),0,_xlpm.dias*$I150*_xlpm.factor))</f>
        <v/>
      </c>
      <c r="L150" s="33">
        <f>_xlfn.LET(_xlpm.inicio,MAX($D150,L$3),_xlpm.fin,MIN($E150,L$4),_xlpm.feriados,IF($H150="CO",FER_CO,FER_EC),_xlpm.dias,IF(_xlpm.inicio&gt;_xlpm.fin,0,NETWORKDAYS(_xlpm.inicio,_xlpm.fin,_xlpm.feriados)),_xlpm.factor,IF($G150="Probable",IF(Parametros!$B$6="Sí",1,0),1),IF(OR($A150="",$D150="",$E150=""),0,_xlpm.dias*$I150*_xlpm.factor))</f>
        <v/>
      </c>
      <c r="M150" s="33">
        <f>_xlfn.LET(_xlpm.inicio,MAX($D150,M$3),_xlpm.fin,MIN($E150,M$4),_xlpm.feriados,IF($H150="CO",FER_CO,FER_EC),_xlpm.dias,IF(_xlpm.inicio&gt;_xlpm.fin,0,NETWORKDAYS(_xlpm.inicio,_xlpm.fin,_xlpm.feriados)),_xlpm.factor,IF($G150="Probable",IF(Parametros!$B$6="Sí",1,0),1),IF(OR($A150="",$D150="",$E150=""),0,_xlpm.dias*$I150*_xlpm.factor))</f>
        <v/>
      </c>
      <c r="N150" s="33">
        <f>_xlfn.LET(_xlpm.inicio,MAX($D150,N$3),_xlpm.fin,MIN($E150,N$4),_xlpm.feriados,IF($H150="CO",FER_CO,FER_EC),_xlpm.dias,IF(_xlpm.inicio&gt;_xlpm.fin,0,NETWORKDAYS(_xlpm.inicio,_xlpm.fin,_xlpm.feriados)),_xlpm.factor,IF($G150="Probable",IF(Parametros!$B$6="Sí",1,0),1),IF(OR($A150="",$D150="",$E150=""),0,_xlpm.dias*$I150*_xlpm.factor))</f>
        <v/>
      </c>
      <c r="O150" s="33">
        <f>_xlfn.LET(_xlpm.inicio,MAX($D150,O$3),_xlpm.fin,MIN($E150,O$4),_xlpm.feriados,IF($H150="CO",FER_CO,FER_EC),_xlpm.dias,IF(_xlpm.inicio&gt;_xlpm.fin,0,NETWORKDAYS(_xlpm.inicio,_xlpm.fin,_xlpm.feriados)),_xlpm.factor,IF($G150="Probable",IF(Parametros!$B$6="Sí",1,0),1),IF(OR($A150="",$D150="",$E150=""),0,_xlpm.dias*$I150*_xlpm.factor))</f>
        <v/>
      </c>
      <c r="P150" s="34">
        <f>_xlfn.LET(_xlpm.horas,J150,_xlpm.feriados,IF($H150="CO",FER_CO,FER_EC),_xlpm.capacidad,NETWORKDAYS(J$3,J$4,_xlpm.feriados)*INDEX(Consultores!$C$6:$C$65,MATCH($A150,Consultores!$A$6:$A$65,0)),IF(_xlpm.horas=0,"",IFERROR(_xlpm.horas/_xlpm.capacidad,"")))</f>
        <v/>
      </c>
      <c r="Q150" s="34">
        <f>_xlfn.LET(_xlpm.horas,K150,_xlpm.feriados,IF($H150="CO",FER_CO,FER_EC),_xlpm.capacidad,NETWORKDAYS(K$3,K$4,_xlpm.feriados)*INDEX(Consultores!$C$6:$C$65,MATCH($A150,Consultores!$A$6:$A$65,0)),IF(_xlpm.horas=0,"",IFERROR(_xlpm.horas/_xlpm.capacidad,"")))</f>
        <v/>
      </c>
      <c r="R150" s="34">
        <f>_xlfn.LET(_xlpm.horas,L150,_xlpm.feriados,IF($H150="CO",FER_CO,FER_EC),_xlpm.capacidad,NETWORKDAYS(L$3,L$4,_xlpm.feriados)*INDEX(Consultores!$C$6:$C$65,MATCH($A150,Consultores!$A$6:$A$65,0)),IF(_xlpm.horas=0,"",IFERROR(_xlpm.horas/_xlpm.capacidad,"")))</f>
        <v/>
      </c>
      <c r="S150" s="34">
        <f>_xlfn.LET(_xlpm.horas,M150,_xlpm.feriados,IF($H150="CO",FER_CO,FER_EC),_xlpm.capacidad,NETWORKDAYS(M$3,M$4,_xlpm.feriados)*INDEX(Consultores!$C$6:$C$65,MATCH($A150,Consultores!$A$6:$A$65,0)),IF(_xlpm.horas=0,"",IFERROR(_xlpm.horas/_xlpm.capacidad,"")))</f>
        <v/>
      </c>
      <c r="T150" s="34">
        <f>_xlfn.LET(_xlpm.horas,N150,_xlpm.feriados,IF($H150="CO",FER_CO,FER_EC),_xlpm.capacidad,NETWORKDAYS(N$3,N$4,_xlpm.feriados)*INDEX(Consultores!$C$6:$C$65,MATCH($A150,Consultores!$A$6:$A$65,0)),IF(_xlpm.horas=0,"",IFERROR(_xlpm.horas/_xlpm.capacidad,"")))</f>
        <v/>
      </c>
      <c r="U150" s="34">
        <f>_xlfn.LET(_xlpm.horas,O150,_xlpm.feriados,IF($H150="CO",FER_CO,FER_EC),_xlpm.capacidad,NETWORKDAYS(O$3,O$4,_xlpm.feriados)*INDEX(Consultores!$C$6:$C$65,MATCH($A150,Consultores!$A$6:$A$65,0)),IF(_xlpm.horas=0,"",IFERROR(_xlpm.horas/_xlpm.capacidad,"")))</f>
        <v/>
      </c>
    </row>
    <row r="151">
      <c r="A151" s="25" t="n"/>
      <c r="B151" s="25" t="n"/>
      <c r="C151" s="25" t="n"/>
      <c r="D151" s="30" t="n"/>
      <c r="E151" s="30" t="n"/>
      <c r="F151" s="26" t="n"/>
      <c r="G151" s="25" t="n"/>
      <c r="H151" s="31">
        <f>IF($A151="","",IFERROR(INDEX(Consultores!$B$6:$B$65,MATCH($A151,Consultores!$A$6:$A$65,0)),"No existe"))</f>
        <v/>
      </c>
      <c r="I151" s="32">
        <f>IF($F151="",0,$F151/5)</f>
        <v/>
      </c>
      <c r="J151" s="33">
        <f>_xlfn.LET(_xlpm.inicio,MAX($D151,J$3),_xlpm.fin,MIN($E151,J$4),_xlpm.feriados,IF($H151="CO",FER_CO,FER_EC),_xlpm.dias,IF(_xlpm.inicio&gt;_xlpm.fin,0,NETWORKDAYS(_xlpm.inicio,_xlpm.fin,_xlpm.feriados)),_xlpm.factor,IF($G151="Probable",IF(Parametros!$B$6="Sí",1,0),1),IF(OR($A151="",$D151="",$E151=""),0,_xlpm.dias*$I151*_xlpm.factor))</f>
        <v/>
      </c>
      <c r="K151" s="33">
        <f>_xlfn.LET(_xlpm.inicio,MAX($D151,K$3),_xlpm.fin,MIN($E151,K$4),_xlpm.feriados,IF($H151="CO",FER_CO,FER_EC),_xlpm.dias,IF(_xlpm.inicio&gt;_xlpm.fin,0,NETWORKDAYS(_xlpm.inicio,_xlpm.fin,_xlpm.feriados)),_xlpm.factor,IF($G151="Probable",IF(Parametros!$B$6="Sí",1,0),1),IF(OR($A151="",$D151="",$E151=""),0,_xlpm.dias*$I151*_xlpm.factor))</f>
        <v/>
      </c>
      <c r="L151" s="33">
        <f>_xlfn.LET(_xlpm.inicio,MAX($D151,L$3),_xlpm.fin,MIN($E151,L$4),_xlpm.feriados,IF($H151="CO",FER_CO,FER_EC),_xlpm.dias,IF(_xlpm.inicio&gt;_xlpm.fin,0,NETWORKDAYS(_xlpm.inicio,_xlpm.fin,_xlpm.feriados)),_xlpm.factor,IF($G151="Probable",IF(Parametros!$B$6="Sí",1,0),1),IF(OR($A151="",$D151="",$E151=""),0,_xlpm.dias*$I151*_xlpm.factor))</f>
        <v/>
      </c>
      <c r="M151" s="33">
        <f>_xlfn.LET(_xlpm.inicio,MAX($D151,M$3),_xlpm.fin,MIN($E151,M$4),_xlpm.feriados,IF($H151="CO",FER_CO,FER_EC),_xlpm.dias,IF(_xlpm.inicio&gt;_xlpm.fin,0,NETWORKDAYS(_xlpm.inicio,_xlpm.fin,_xlpm.feriados)),_xlpm.factor,IF($G151="Probable",IF(Parametros!$B$6="Sí",1,0),1),IF(OR($A151="",$D151="",$E151=""),0,_xlpm.dias*$I151*_xlpm.factor))</f>
        <v/>
      </c>
      <c r="N151" s="33">
        <f>_xlfn.LET(_xlpm.inicio,MAX($D151,N$3),_xlpm.fin,MIN($E151,N$4),_xlpm.feriados,IF($H151="CO",FER_CO,FER_EC),_xlpm.dias,IF(_xlpm.inicio&gt;_xlpm.fin,0,NETWORKDAYS(_xlpm.inicio,_xlpm.fin,_xlpm.feriados)),_xlpm.factor,IF($G151="Probable",IF(Parametros!$B$6="Sí",1,0),1),IF(OR($A151="",$D151="",$E151=""),0,_xlpm.dias*$I151*_xlpm.factor))</f>
        <v/>
      </c>
      <c r="O151" s="33">
        <f>_xlfn.LET(_xlpm.inicio,MAX($D151,O$3),_xlpm.fin,MIN($E151,O$4),_xlpm.feriados,IF($H151="CO",FER_CO,FER_EC),_xlpm.dias,IF(_xlpm.inicio&gt;_xlpm.fin,0,NETWORKDAYS(_xlpm.inicio,_xlpm.fin,_xlpm.feriados)),_xlpm.factor,IF($G151="Probable",IF(Parametros!$B$6="Sí",1,0),1),IF(OR($A151="",$D151="",$E151=""),0,_xlpm.dias*$I151*_xlpm.factor))</f>
        <v/>
      </c>
      <c r="P151" s="34">
        <f>_xlfn.LET(_xlpm.horas,J151,_xlpm.feriados,IF($H151="CO",FER_CO,FER_EC),_xlpm.capacidad,NETWORKDAYS(J$3,J$4,_xlpm.feriados)*INDEX(Consultores!$C$6:$C$65,MATCH($A151,Consultores!$A$6:$A$65,0)),IF(_xlpm.horas=0,"",IFERROR(_xlpm.horas/_xlpm.capacidad,"")))</f>
        <v/>
      </c>
      <c r="Q151" s="34">
        <f>_xlfn.LET(_xlpm.horas,K151,_xlpm.feriados,IF($H151="CO",FER_CO,FER_EC),_xlpm.capacidad,NETWORKDAYS(K$3,K$4,_xlpm.feriados)*INDEX(Consultores!$C$6:$C$65,MATCH($A151,Consultores!$A$6:$A$65,0)),IF(_xlpm.horas=0,"",IFERROR(_xlpm.horas/_xlpm.capacidad,"")))</f>
        <v/>
      </c>
      <c r="R151" s="34">
        <f>_xlfn.LET(_xlpm.horas,L151,_xlpm.feriados,IF($H151="CO",FER_CO,FER_EC),_xlpm.capacidad,NETWORKDAYS(L$3,L$4,_xlpm.feriados)*INDEX(Consultores!$C$6:$C$65,MATCH($A151,Consultores!$A$6:$A$65,0)),IF(_xlpm.horas=0,"",IFERROR(_xlpm.horas/_xlpm.capacidad,"")))</f>
        <v/>
      </c>
      <c r="S151" s="34">
        <f>_xlfn.LET(_xlpm.horas,M151,_xlpm.feriados,IF($H151="CO",FER_CO,FER_EC),_xlpm.capacidad,NETWORKDAYS(M$3,M$4,_xlpm.feriados)*INDEX(Consultores!$C$6:$C$65,MATCH($A151,Consultores!$A$6:$A$65,0)),IF(_xlpm.horas=0,"",IFERROR(_xlpm.horas/_xlpm.capacidad,"")))</f>
        <v/>
      </c>
      <c r="T151" s="34">
        <f>_xlfn.LET(_xlpm.horas,N151,_xlpm.feriados,IF($H151="CO",FER_CO,FER_EC),_xlpm.capacidad,NETWORKDAYS(N$3,N$4,_xlpm.feriados)*INDEX(Consultores!$C$6:$C$65,MATCH($A151,Consultores!$A$6:$A$65,0)),IF(_xlpm.horas=0,"",IFERROR(_xlpm.horas/_xlpm.capacidad,"")))</f>
        <v/>
      </c>
      <c r="U151" s="34">
        <f>_xlfn.LET(_xlpm.horas,O151,_xlpm.feriados,IF($H151="CO",FER_CO,FER_EC),_xlpm.capacidad,NETWORKDAYS(O$3,O$4,_xlpm.feriados)*INDEX(Consultores!$C$6:$C$65,MATCH($A151,Consultores!$A$6:$A$65,0)),IF(_xlpm.horas=0,"",IFERROR(_xlpm.horas/_xlpm.capacidad,"")))</f>
        <v/>
      </c>
    </row>
    <row r="152">
      <c r="A152" s="25" t="n"/>
      <c r="B152" s="25" t="n"/>
      <c r="C152" s="25" t="n"/>
      <c r="D152" s="30" t="n"/>
      <c r="E152" s="30" t="n"/>
      <c r="F152" s="26" t="n"/>
      <c r="G152" s="25" t="n"/>
      <c r="H152" s="31">
        <f>IF($A152="","",IFERROR(INDEX(Consultores!$B$6:$B$65,MATCH($A152,Consultores!$A$6:$A$65,0)),"No existe"))</f>
        <v/>
      </c>
      <c r="I152" s="32">
        <f>IF($F152="",0,$F152/5)</f>
        <v/>
      </c>
      <c r="J152" s="33">
        <f>_xlfn.LET(_xlpm.inicio,MAX($D152,J$3),_xlpm.fin,MIN($E152,J$4),_xlpm.feriados,IF($H152="CO",FER_CO,FER_EC),_xlpm.dias,IF(_xlpm.inicio&gt;_xlpm.fin,0,NETWORKDAYS(_xlpm.inicio,_xlpm.fin,_xlpm.feriados)),_xlpm.factor,IF($G152="Probable",IF(Parametros!$B$6="Sí",1,0),1),IF(OR($A152="",$D152="",$E152=""),0,_xlpm.dias*$I152*_xlpm.factor))</f>
        <v/>
      </c>
      <c r="K152" s="33">
        <f>_xlfn.LET(_xlpm.inicio,MAX($D152,K$3),_xlpm.fin,MIN($E152,K$4),_xlpm.feriados,IF($H152="CO",FER_CO,FER_EC),_xlpm.dias,IF(_xlpm.inicio&gt;_xlpm.fin,0,NETWORKDAYS(_xlpm.inicio,_xlpm.fin,_xlpm.feriados)),_xlpm.factor,IF($G152="Probable",IF(Parametros!$B$6="Sí",1,0),1),IF(OR($A152="",$D152="",$E152=""),0,_xlpm.dias*$I152*_xlpm.factor))</f>
        <v/>
      </c>
      <c r="L152" s="33">
        <f>_xlfn.LET(_xlpm.inicio,MAX($D152,L$3),_xlpm.fin,MIN($E152,L$4),_xlpm.feriados,IF($H152="CO",FER_CO,FER_EC),_xlpm.dias,IF(_xlpm.inicio&gt;_xlpm.fin,0,NETWORKDAYS(_xlpm.inicio,_xlpm.fin,_xlpm.feriados)),_xlpm.factor,IF($G152="Probable",IF(Parametros!$B$6="Sí",1,0),1),IF(OR($A152="",$D152="",$E152=""),0,_xlpm.dias*$I152*_xlpm.factor))</f>
        <v/>
      </c>
      <c r="M152" s="33">
        <f>_xlfn.LET(_xlpm.inicio,MAX($D152,M$3),_xlpm.fin,MIN($E152,M$4),_xlpm.feriados,IF($H152="CO",FER_CO,FER_EC),_xlpm.dias,IF(_xlpm.inicio&gt;_xlpm.fin,0,NETWORKDAYS(_xlpm.inicio,_xlpm.fin,_xlpm.feriados)),_xlpm.factor,IF($G152="Probable",IF(Parametros!$B$6="Sí",1,0),1),IF(OR($A152="",$D152="",$E152=""),0,_xlpm.dias*$I152*_xlpm.factor))</f>
        <v/>
      </c>
      <c r="N152" s="33">
        <f>_xlfn.LET(_xlpm.inicio,MAX($D152,N$3),_xlpm.fin,MIN($E152,N$4),_xlpm.feriados,IF($H152="CO",FER_CO,FER_EC),_xlpm.dias,IF(_xlpm.inicio&gt;_xlpm.fin,0,NETWORKDAYS(_xlpm.inicio,_xlpm.fin,_xlpm.feriados)),_xlpm.factor,IF($G152="Probable",IF(Parametros!$B$6="Sí",1,0),1),IF(OR($A152="",$D152="",$E152=""),0,_xlpm.dias*$I152*_xlpm.factor))</f>
        <v/>
      </c>
      <c r="O152" s="33">
        <f>_xlfn.LET(_xlpm.inicio,MAX($D152,O$3),_xlpm.fin,MIN($E152,O$4),_xlpm.feriados,IF($H152="CO",FER_CO,FER_EC),_xlpm.dias,IF(_xlpm.inicio&gt;_xlpm.fin,0,NETWORKDAYS(_xlpm.inicio,_xlpm.fin,_xlpm.feriados)),_xlpm.factor,IF($G152="Probable",IF(Parametros!$B$6="Sí",1,0),1),IF(OR($A152="",$D152="",$E152=""),0,_xlpm.dias*$I152*_xlpm.factor))</f>
        <v/>
      </c>
      <c r="P152" s="34">
        <f>_xlfn.LET(_xlpm.horas,J152,_xlpm.feriados,IF($H152="CO",FER_CO,FER_EC),_xlpm.capacidad,NETWORKDAYS(J$3,J$4,_xlpm.feriados)*INDEX(Consultores!$C$6:$C$65,MATCH($A152,Consultores!$A$6:$A$65,0)),IF(_xlpm.horas=0,"",IFERROR(_xlpm.horas/_xlpm.capacidad,"")))</f>
        <v/>
      </c>
      <c r="Q152" s="34">
        <f>_xlfn.LET(_xlpm.horas,K152,_xlpm.feriados,IF($H152="CO",FER_CO,FER_EC),_xlpm.capacidad,NETWORKDAYS(K$3,K$4,_xlpm.feriados)*INDEX(Consultores!$C$6:$C$65,MATCH($A152,Consultores!$A$6:$A$65,0)),IF(_xlpm.horas=0,"",IFERROR(_xlpm.horas/_xlpm.capacidad,"")))</f>
        <v/>
      </c>
      <c r="R152" s="34">
        <f>_xlfn.LET(_xlpm.horas,L152,_xlpm.feriados,IF($H152="CO",FER_CO,FER_EC),_xlpm.capacidad,NETWORKDAYS(L$3,L$4,_xlpm.feriados)*INDEX(Consultores!$C$6:$C$65,MATCH($A152,Consultores!$A$6:$A$65,0)),IF(_xlpm.horas=0,"",IFERROR(_xlpm.horas/_xlpm.capacidad,"")))</f>
        <v/>
      </c>
      <c r="S152" s="34">
        <f>_xlfn.LET(_xlpm.horas,M152,_xlpm.feriados,IF($H152="CO",FER_CO,FER_EC),_xlpm.capacidad,NETWORKDAYS(M$3,M$4,_xlpm.feriados)*INDEX(Consultores!$C$6:$C$65,MATCH($A152,Consultores!$A$6:$A$65,0)),IF(_xlpm.horas=0,"",IFERROR(_xlpm.horas/_xlpm.capacidad,"")))</f>
        <v/>
      </c>
      <c r="T152" s="34">
        <f>_xlfn.LET(_xlpm.horas,N152,_xlpm.feriados,IF($H152="CO",FER_CO,FER_EC),_xlpm.capacidad,NETWORKDAYS(N$3,N$4,_xlpm.feriados)*INDEX(Consultores!$C$6:$C$65,MATCH($A152,Consultores!$A$6:$A$65,0)),IF(_xlpm.horas=0,"",IFERROR(_xlpm.horas/_xlpm.capacidad,"")))</f>
        <v/>
      </c>
      <c r="U152" s="34">
        <f>_xlfn.LET(_xlpm.horas,O152,_xlpm.feriados,IF($H152="CO",FER_CO,FER_EC),_xlpm.capacidad,NETWORKDAYS(O$3,O$4,_xlpm.feriados)*INDEX(Consultores!$C$6:$C$65,MATCH($A152,Consultores!$A$6:$A$65,0)),IF(_xlpm.horas=0,"",IFERROR(_xlpm.horas/_xlpm.capacidad,"")))</f>
        <v/>
      </c>
    </row>
    <row r="153">
      <c r="A153" s="25" t="n"/>
      <c r="B153" s="25" t="n"/>
      <c r="C153" s="25" t="n"/>
      <c r="D153" s="30" t="n"/>
      <c r="E153" s="30" t="n"/>
      <c r="F153" s="26" t="n"/>
      <c r="G153" s="25" t="n"/>
      <c r="H153" s="31">
        <f>IF($A153="","",IFERROR(INDEX(Consultores!$B$6:$B$65,MATCH($A153,Consultores!$A$6:$A$65,0)),"No existe"))</f>
        <v/>
      </c>
      <c r="I153" s="32">
        <f>IF($F153="",0,$F153/5)</f>
        <v/>
      </c>
      <c r="J153" s="33">
        <f>_xlfn.LET(_xlpm.inicio,MAX($D153,J$3),_xlpm.fin,MIN($E153,J$4),_xlpm.feriados,IF($H153="CO",FER_CO,FER_EC),_xlpm.dias,IF(_xlpm.inicio&gt;_xlpm.fin,0,NETWORKDAYS(_xlpm.inicio,_xlpm.fin,_xlpm.feriados)),_xlpm.factor,IF($G153="Probable",IF(Parametros!$B$6="Sí",1,0),1),IF(OR($A153="",$D153="",$E153=""),0,_xlpm.dias*$I153*_xlpm.factor))</f>
        <v/>
      </c>
      <c r="K153" s="33">
        <f>_xlfn.LET(_xlpm.inicio,MAX($D153,K$3),_xlpm.fin,MIN($E153,K$4),_xlpm.feriados,IF($H153="CO",FER_CO,FER_EC),_xlpm.dias,IF(_xlpm.inicio&gt;_xlpm.fin,0,NETWORKDAYS(_xlpm.inicio,_xlpm.fin,_xlpm.feriados)),_xlpm.factor,IF($G153="Probable",IF(Parametros!$B$6="Sí",1,0),1),IF(OR($A153="",$D153="",$E153=""),0,_xlpm.dias*$I153*_xlpm.factor))</f>
        <v/>
      </c>
      <c r="L153" s="33">
        <f>_xlfn.LET(_xlpm.inicio,MAX($D153,L$3),_xlpm.fin,MIN($E153,L$4),_xlpm.feriados,IF($H153="CO",FER_CO,FER_EC),_xlpm.dias,IF(_xlpm.inicio&gt;_xlpm.fin,0,NETWORKDAYS(_xlpm.inicio,_xlpm.fin,_xlpm.feriados)),_xlpm.factor,IF($G153="Probable",IF(Parametros!$B$6="Sí",1,0),1),IF(OR($A153="",$D153="",$E153=""),0,_xlpm.dias*$I153*_xlpm.factor))</f>
        <v/>
      </c>
      <c r="M153" s="33">
        <f>_xlfn.LET(_xlpm.inicio,MAX($D153,M$3),_xlpm.fin,MIN($E153,M$4),_xlpm.feriados,IF($H153="CO",FER_CO,FER_EC),_xlpm.dias,IF(_xlpm.inicio&gt;_xlpm.fin,0,NETWORKDAYS(_xlpm.inicio,_xlpm.fin,_xlpm.feriados)),_xlpm.factor,IF($G153="Probable",IF(Parametros!$B$6="Sí",1,0),1),IF(OR($A153="",$D153="",$E153=""),0,_xlpm.dias*$I153*_xlpm.factor))</f>
        <v/>
      </c>
      <c r="N153" s="33">
        <f>_xlfn.LET(_xlpm.inicio,MAX($D153,N$3),_xlpm.fin,MIN($E153,N$4),_xlpm.feriados,IF($H153="CO",FER_CO,FER_EC),_xlpm.dias,IF(_xlpm.inicio&gt;_xlpm.fin,0,NETWORKDAYS(_xlpm.inicio,_xlpm.fin,_xlpm.feriados)),_xlpm.factor,IF($G153="Probable",IF(Parametros!$B$6="Sí",1,0),1),IF(OR($A153="",$D153="",$E153=""),0,_xlpm.dias*$I153*_xlpm.factor))</f>
        <v/>
      </c>
      <c r="O153" s="33">
        <f>_xlfn.LET(_xlpm.inicio,MAX($D153,O$3),_xlpm.fin,MIN($E153,O$4),_xlpm.feriados,IF($H153="CO",FER_CO,FER_EC),_xlpm.dias,IF(_xlpm.inicio&gt;_xlpm.fin,0,NETWORKDAYS(_xlpm.inicio,_xlpm.fin,_xlpm.feriados)),_xlpm.factor,IF($G153="Probable",IF(Parametros!$B$6="Sí",1,0),1),IF(OR($A153="",$D153="",$E153=""),0,_xlpm.dias*$I153*_xlpm.factor))</f>
        <v/>
      </c>
      <c r="P153" s="34">
        <f>_xlfn.LET(_xlpm.horas,J153,_xlpm.feriados,IF($H153="CO",FER_CO,FER_EC),_xlpm.capacidad,NETWORKDAYS(J$3,J$4,_xlpm.feriados)*INDEX(Consultores!$C$6:$C$65,MATCH($A153,Consultores!$A$6:$A$65,0)),IF(_xlpm.horas=0,"",IFERROR(_xlpm.horas/_xlpm.capacidad,"")))</f>
        <v/>
      </c>
      <c r="Q153" s="34">
        <f>_xlfn.LET(_xlpm.horas,K153,_xlpm.feriados,IF($H153="CO",FER_CO,FER_EC),_xlpm.capacidad,NETWORKDAYS(K$3,K$4,_xlpm.feriados)*INDEX(Consultores!$C$6:$C$65,MATCH($A153,Consultores!$A$6:$A$65,0)),IF(_xlpm.horas=0,"",IFERROR(_xlpm.horas/_xlpm.capacidad,"")))</f>
        <v/>
      </c>
      <c r="R153" s="34">
        <f>_xlfn.LET(_xlpm.horas,L153,_xlpm.feriados,IF($H153="CO",FER_CO,FER_EC),_xlpm.capacidad,NETWORKDAYS(L$3,L$4,_xlpm.feriados)*INDEX(Consultores!$C$6:$C$65,MATCH($A153,Consultores!$A$6:$A$65,0)),IF(_xlpm.horas=0,"",IFERROR(_xlpm.horas/_xlpm.capacidad,"")))</f>
        <v/>
      </c>
      <c r="S153" s="34">
        <f>_xlfn.LET(_xlpm.horas,M153,_xlpm.feriados,IF($H153="CO",FER_CO,FER_EC),_xlpm.capacidad,NETWORKDAYS(M$3,M$4,_xlpm.feriados)*INDEX(Consultores!$C$6:$C$65,MATCH($A153,Consultores!$A$6:$A$65,0)),IF(_xlpm.horas=0,"",IFERROR(_xlpm.horas/_xlpm.capacidad,"")))</f>
        <v/>
      </c>
      <c r="T153" s="34">
        <f>_xlfn.LET(_xlpm.horas,N153,_xlpm.feriados,IF($H153="CO",FER_CO,FER_EC),_xlpm.capacidad,NETWORKDAYS(N$3,N$4,_xlpm.feriados)*INDEX(Consultores!$C$6:$C$65,MATCH($A153,Consultores!$A$6:$A$65,0)),IF(_xlpm.horas=0,"",IFERROR(_xlpm.horas/_xlpm.capacidad,"")))</f>
        <v/>
      </c>
      <c r="U153" s="34">
        <f>_xlfn.LET(_xlpm.horas,O153,_xlpm.feriados,IF($H153="CO",FER_CO,FER_EC),_xlpm.capacidad,NETWORKDAYS(O$3,O$4,_xlpm.feriados)*INDEX(Consultores!$C$6:$C$65,MATCH($A153,Consultores!$A$6:$A$65,0)),IF(_xlpm.horas=0,"",IFERROR(_xlpm.horas/_xlpm.capacidad,"")))</f>
        <v/>
      </c>
    </row>
    <row r="154">
      <c r="A154" s="25" t="n"/>
      <c r="B154" s="25" t="n"/>
      <c r="C154" s="25" t="n"/>
      <c r="D154" s="30" t="n"/>
      <c r="E154" s="30" t="n"/>
      <c r="F154" s="26" t="n"/>
      <c r="G154" s="25" t="n"/>
      <c r="H154" s="31">
        <f>IF($A154="","",IFERROR(INDEX(Consultores!$B$6:$B$65,MATCH($A154,Consultores!$A$6:$A$65,0)),"No existe"))</f>
        <v/>
      </c>
      <c r="I154" s="32">
        <f>IF($F154="",0,$F154/5)</f>
        <v/>
      </c>
      <c r="J154" s="33">
        <f>_xlfn.LET(_xlpm.inicio,MAX($D154,J$3),_xlpm.fin,MIN($E154,J$4),_xlpm.feriados,IF($H154="CO",FER_CO,FER_EC),_xlpm.dias,IF(_xlpm.inicio&gt;_xlpm.fin,0,NETWORKDAYS(_xlpm.inicio,_xlpm.fin,_xlpm.feriados)),_xlpm.factor,IF($G154="Probable",IF(Parametros!$B$6="Sí",1,0),1),IF(OR($A154="",$D154="",$E154=""),0,_xlpm.dias*$I154*_xlpm.factor))</f>
        <v/>
      </c>
      <c r="K154" s="33">
        <f>_xlfn.LET(_xlpm.inicio,MAX($D154,K$3),_xlpm.fin,MIN($E154,K$4),_xlpm.feriados,IF($H154="CO",FER_CO,FER_EC),_xlpm.dias,IF(_xlpm.inicio&gt;_xlpm.fin,0,NETWORKDAYS(_xlpm.inicio,_xlpm.fin,_xlpm.feriados)),_xlpm.factor,IF($G154="Probable",IF(Parametros!$B$6="Sí",1,0),1),IF(OR($A154="",$D154="",$E154=""),0,_xlpm.dias*$I154*_xlpm.factor))</f>
        <v/>
      </c>
      <c r="L154" s="33">
        <f>_xlfn.LET(_xlpm.inicio,MAX($D154,L$3),_xlpm.fin,MIN($E154,L$4),_xlpm.feriados,IF($H154="CO",FER_CO,FER_EC),_xlpm.dias,IF(_xlpm.inicio&gt;_xlpm.fin,0,NETWORKDAYS(_xlpm.inicio,_xlpm.fin,_xlpm.feriados)),_xlpm.factor,IF($G154="Probable",IF(Parametros!$B$6="Sí",1,0),1),IF(OR($A154="",$D154="",$E154=""),0,_xlpm.dias*$I154*_xlpm.factor))</f>
        <v/>
      </c>
      <c r="M154" s="33">
        <f>_xlfn.LET(_xlpm.inicio,MAX($D154,M$3),_xlpm.fin,MIN($E154,M$4),_xlpm.feriados,IF($H154="CO",FER_CO,FER_EC),_xlpm.dias,IF(_xlpm.inicio&gt;_xlpm.fin,0,NETWORKDAYS(_xlpm.inicio,_xlpm.fin,_xlpm.feriados)),_xlpm.factor,IF($G154="Probable",IF(Parametros!$B$6="Sí",1,0),1),IF(OR($A154="",$D154="",$E154=""),0,_xlpm.dias*$I154*_xlpm.factor))</f>
        <v/>
      </c>
      <c r="N154" s="33">
        <f>_xlfn.LET(_xlpm.inicio,MAX($D154,N$3),_xlpm.fin,MIN($E154,N$4),_xlpm.feriados,IF($H154="CO",FER_CO,FER_EC),_xlpm.dias,IF(_xlpm.inicio&gt;_xlpm.fin,0,NETWORKDAYS(_xlpm.inicio,_xlpm.fin,_xlpm.feriados)),_xlpm.factor,IF($G154="Probable",IF(Parametros!$B$6="Sí",1,0),1),IF(OR($A154="",$D154="",$E154=""),0,_xlpm.dias*$I154*_xlpm.factor))</f>
        <v/>
      </c>
      <c r="O154" s="33">
        <f>_xlfn.LET(_xlpm.inicio,MAX($D154,O$3),_xlpm.fin,MIN($E154,O$4),_xlpm.feriados,IF($H154="CO",FER_CO,FER_EC),_xlpm.dias,IF(_xlpm.inicio&gt;_xlpm.fin,0,NETWORKDAYS(_xlpm.inicio,_xlpm.fin,_xlpm.feriados)),_xlpm.factor,IF($G154="Probable",IF(Parametros!$B$6="Sí",1,0),1),IF(OR($A154="",$D154="",$E154=""),0,_xlpm.dias*$I154*_xlpm.factor))</f>
        <v/>
      </c>
      <c r="P154" s="34">
        <f>_xlfn.LET(_xlpm.horas,J154,_xlpm.feriados,IF($H154="CO",FER_CO,FER_EC),_xlpm.capacidad,NETWORKDAYS(J$3,J$4,_xlpm.feriados)*INDEX(Consultores!$C$6:$C$65,MATCH($A154,Consultores!$A$6:$A$65,0)),IF(_xlpm.horas=0,"",IFERROR(_xlpm.horas/_xlpm.capacidad,"")))</f>
        <v/>
      </c>
      <c r="Q154" s="34">
        <f>_xlfn.LET(_xlpm.horas,K154,_xlpm.feriados,IF($H154="CO",FER_CO,FER_EC),_xlpm.capacidad,NETWORKDAYS(K$3,K$4,_xlpm.feriados)*INDEX(Consultores!$C$6:$C$65,MATCH($A154,Consultores!$A$6:$A$65,0)),IF(_xlpm.horas=0,"",IFERROR(_xlpm.horas/_xlpm.capacidad,"")))</f>
        <v/>
      </c>
      <c r="R154" s="34">
        <f>_xlfn.LET(_xlpm.horas,L154,_xlpm.feriados,IF($H154="CO",FER_CO,FER_EC),_xlpm.capacidad,NETWORKDAYS(L$3,L$4,_xlpm.feriados)*INDEX(Consultores!$C$6:$C$65,MATCH($A154,Consultores!$A$6:$A$65,0)),IF(_xlpm.horas=0,"",IFERROR(_xlpm.horas/_xlpm.capacidad,"")))</f>
        <v/>
      </c>
      <c r="S154" s="34">
        <f>_xlfn.LET(_xlpm.horas,M154,_xlpm.feriados,IF($H154="CO",FER_CO,FER_EC),_xlpm.capacidad,NETWORKDAYS(M$3,M$4,_xlpm.feriados)*INDEX(Consultores!$C$6:$C$65,MATCH($A154,Consultores!$A$6:$A$65,0)),IF(_xlpm.horas=0,"",IFERROR(_xlpm.horas/_xlpm.capacidad,"")))</f>
        <v/>
      </c>
      <c r="T154" s="34">
        <f>_xlfn.LET(_xlpm.horas,N154,_xlpm.feriados,IF($H154="CO",FER_CO,FER_EC),_xlpm.capacidad,NETWORKDAYS(N$3,N$4,_xlpm.feriados)*INDEX(Consultores!$C$6:$C$65,MATCH($A154,Consultores!$A$6:$A$65,0)),IF(_xlpm.horas=0,"",IFERROR(_xlpm.horas/_xlpm.capacidad,"")))</f>
        <v/>
      </c>
      <c r="U154" s="34">
        <f>_xlfn.LET(_xlpm.horas,O154,_xlpm.feriados,IF($H154="CO",FER_CO,FER_EC),_xlpm.capacidad,NETWORKDAYS(O$3,O$4,_xlpm.feriados)*INDEX(Consultores!$C$6:$C$65,MATCH($A154,Consultores!$A$6:$A$65,0)),IF(_xlpm.horas=0,"",IFERROR(_xlpm.horas/_xlpm.capacidad,"")))</f>
        <v/>
      </c>
    </row>
    <row r="155">
      <c r="A155" s="25" t="n"/>
      <c r="B155" s="25" t="n"/>
      <c r="C155" s="25" t="n"/>
      <c r="D155" s="30" t="n"/>
      <c r="E155" s="30" t="n"/>
      <c r="F155" s="26" t="n"/>
      <c r="G155" s="25" t="n"/>
      <c r="H155" s="31">
        <f>IF($A155="","",IFERROR(INDEX(Consultores!$B$6:$B$65,MATCH($A155,Consultores!$A$6:$A$65,0)),"No existe"))</f>
        <v/>
      </c>
      <c r="I155" s="32">
        <f>IF($F155="",0,$F155/5)</f>
        <v/>
      </c>
      <c r="J155" s="33">
        <f>_xlfn.LET(_xlpm.inicio,MAX($D155,J$3),_xlpm.fin,MIN($E155,J$4),_xlpm.feriados,IF($H155="CO",FER_CO,FER_EC),_xlpm.dias,IF(_xlpm.inicio&gt;_xlpm.fin,0,NETWORKDAYS(_xlpm.inicio,_xlpm.fin,_xlpm.feriados)),_xlpm.factor,IF($G155="Probable",IF(Parametros!$B$6="Sí",1,0),1),IF(OR($A155="",$D155="",$E155=""),0,_xlpm.dias*$I155*_xlpm.factor))</f>
        <v/>
      </c>
      <c r="K155" s="33">
        <f>_xlfn.LET(_xlpm.inicio,MAX($D155,K$3),_xlpm.fin,MIN($E155,K$4),_xlpm.feriados,IF($H155="CO",FER_CO,FER_EC),_xlpm.dias,IF(_xlpm.inicio&gt;_xlpm.fin,0,NETWORKDAYS(_xlpm.inicio,_xlpm.fin,_xlpm.feriados)),_xlpm.factor,IF($G155="Probable",IF(Parametros!$B$6="Sí",1,0),1),IF(OR($A155="",$D155="",$E155=""),0,_xlpm.dias*$I155*_xlpm.factor))</f>
        <v/>
      </c>
      <c r="L155" s="33">
        <f>_xlfn.LET(_xlpm.inicio,MAX($D155,L$3),_xlpm.fin,MIN($E155,L$4),_xlpm.feriados,IF($H155="CO",FER_CO,FER_EC),_xlpm.dias,IF(_xlpm.inicio&gt;_xlpm.fin,0,NETWORKDAYS(_xlpm.inicio,_xlpm.fin,_xlpm.feriados)),_xlpm.factor,IF($G155="Probable",IF(Parametros!$B$6="Sí",1,0),1),IF(OR($A155="",$D155="",$E155=""),0,_xlpm.dias*$I155*_xlpm.factor))</f>
        <v/>
      </c>
      <c r="M155" s="33">
        <f>_xlfn.LET(_xlpm.inicio,MAX($D155,M$3),_xlpm.fin,MIN($E155,M$4),_xlpm.feriados,IF($H155="CO",FER_CO,FER_EC),_xlpm.dias,IF(_xlpm.inicio&gt;_xlpm.fin,0,NETWORKDAYS(_xlpm.inicio,_xlpm.fin,_xlpm.feriados)),_xlpm.factor,IF($G155="Probable",IF(Parametros!$B$6="Sí",1,0),1),IF(OR($A155="",$D155="",$E155=""),0,_xlpm.dias*$I155*_xlpm.factor))</f>
        <v/>
      </c>
      <c r="N155" s="33">
        <f>_xlfn.LET(_xlpm.inicio,MAX($D155,N$3),_xlpm.fin,MIN($E155,N$4),_xlpm.feriados,IF($H155="CO",FER_CO,FER_EC),_xlpm.dias,IF(_xlpm.inicio&gt;_xlpm.fin,0,NETWORKDAYS(_xlpm.inicio,_xlpm.fin,_xlpm.feriados)),_xlpm.factor,IF($G155="Probable",IF(Parametros!$B$6="Sí",1,0),1),IF(OR($A155="",$D155="",$E155=""),0,_xlpm.dias*$I155*_xlpm.factor))</f>
        <v/>
      </c>
      <c r="O155" s="33">
        <f>_xlfn.LET(_xlpm.inicio,MAX($D155,O$3),_xlpm.fin,MIN($E155,O$4),_xlpm.feriados,IF($H155="CO",FER_CO,FER_EC),_xlpm.dias,IF(_xlpm.inicio&gt;_xlpm.fin,0,NETWORKDAYS(_xlpm.inicio,_xlpm.fin,_xlpm.feriados)),_xlpm.factor,IF($G155="Probable",IF(Parametros!$B$6="Sí",1,0),1),IF(OR($A155="",$D155="",$E155=""),0,_xlpm.dias*$I155*_xlpm.factor))</f>
        <v/>
      </c>
      <c r="P155" s="34">
        <f>_xlfn.LET(_xlpm.horas,J155,_xlpm.feriados,IF($H155="CO",FER_CO,FER_EC),_xlpm.capacidad,NETWORKDAYS(J$3,J$4,_xlpm.feriados)*INDEX(Consultores!$C$6:$C$65,MATCH($A155,Consultores!$A$6:$A$65,0)),IF(_xlpm.horas=0,"",IFERROR(_xlpm.horas/_xlpm.capacidad,"")))</f>
        <v/>
      </c>
      <c r="Q155" s="34">
        <f>_xlfn.LET(_xlpm.horas,K155,_xlpm.feriados,IF($H155="CO",FER_CO,FER_EC),_xlpm.capacidad,NETWORKDAYS(K$3,K$4,_xlpm.feriados)*INDEX(Consultores!$C$6:$C$65,MATCH($A155,Consultores!$A$6:$A$65,0)),IF(_xlpm.horas=0,"",IFERROR(_xlpm.horas/_xlpm.capacidad,"")))</f>
        <v/>
      </c>
      <c r="R155" s="34">
        <f>_xlfn.LET(_xlpm.horas,L155,_xlpm.feriados,IF($H155="CO",FER_CO,FER_EC),_xlpm.capacidad,NETWORKDAYS(L$3,L$4,_xlpm.feriados)*INDEX(Consultores!$C$6:$C$65,MATCH($A155,Consultores!$A$6:$A$65,0)),IF(_xlpm.horas=0,"",IFERROR(_xlpm.horas/_xlpm.capacidad,"")))</f>
        <v/>
      </c>
      <c r="S155" s="34">
        <f>_xlfn.LET(_xlpm.horas,M155,_xlpm.feriados,IF($H155="CO",FER_CO,FER_EC),_xlpm.capacidad,NETWORKDAYS(M$3,M$4,_xlpm.feriados)*INDEX(Consultores!$C$6:$C$65,MATCH($A155,Consultores!$A$6:$A$65,0)),IF(_xlpm.horas=0,"",IFERROR(_xlpm.horas/_xlpm.capacidad,"")))</f>
        <v/>
      </c>
      <c r="T155" s="34">
        <f>_xlfn.LET(_xlpm.horas,N155,_xlpm.feriados,IF($H155="CO",FER_CO,FER_EC),_xlpm.capacidad,NETWORKDAYS(N$3,N$4,_xlpm.feriados)*INDEX(Consultores!$C$6:$C$65,MATCH($A155,Consultores!$A$6:$A$65,0)),IF(_xlpm.horas=0,"",IFERROR(_xlpm.horas/_xlpm.capacidad,"")))</f>
        <v/>
      </c>
      <c r="U155" s="34">
        <f>_xlfn.LET(_xlpm.horas,O155,_xlpm.feriados,IF($H155="CO",FER_CO,FER_EC),_xlpm.capacidad,NETWORKDAYS(O$3,O$4,_xlpm.feriados)*INDEX(Consultores!$C$6:$C$65,MATCH($A155,Consultores!$A$6:$A$65,0)),IF(_xlpm.horas=0,"",IFERROR(_xlpm.horas/_xlpm.capacidad,"")))</f>
        <v/>
      </c>
    </row>
    <row r="156">
      <c r="A156" s="25" t="n"/>
      <c r="B156" s="25" t="n"/>
      <c r="C156" s="25" t="n"/>
      <c r="D156" s="30" t="n"/>
      <c r="E156" s="30" t="n"/>
      <c r="F156" s="26" t="n"/>
      <c r="G156" s="25" t="n"/>
      <c r="H156" s="31">
        <f>IF($A156="","",IFERROR(INDEX(Consultores!$B$6:$B$65,MATCH($A156,Consultores!$A$6:$A$65,0)),"No existe"))</f>
        <v/>
      </c>
      <c r="I156" s="32">
        <f>IF($F156="",0,$F156/5)</f>
        <v/>
      </c>
      <c r="J156" s="33">
        <f>_xlfn.LET(_xlpm.inicio,MAX($D156,J$3),_xlpm.fin,MIN($E156,J$4),_xlpm.feriados,IF($H156="CO",FER_CO,FER_EC),_xlpm.dias,IF(_xlpm.inicio&gt;_xlpm.fin,0,NETWORKDAYS(_xlpm.inicio,_xlpm.fin,_xlpm.feriados)),_xlpm.factor,IF($G156="Probable",IF(Parametros!$B$6="Sí",1,0),1),IF(OR($A156="",$D156="",$E156=""),0,_xlpm.dias*$I156*_xlpm.factor))</f>
        <v/>
      </c>
      <c r="K156" s="33">
        <f>_xlfn.LET(_xlpm.inicio,MAX($D156,K$3),_xlpm.fin,MIN($E156,K$4),_xlpm.feriados,IF($H156="CO",FER_CO,FER_EC),_xlpm.dias,IF(_xlpm.inicio&gt;_xlpm.fin,0,NETWORKDAYS(_xlpm.inicio,_xlpm.fin,_xlpm.feriados)),_xlpm.factor,IF($G156="Probable",IF(Parametros!$B$6="Sí",1,0),1),IF(OR($A156="",$D156="",$E156=""),0,_xlpm.dias*$I156*_xlpm.factor))</f>
        <v/>
      </c>
      <c r="L156" s="33">
        <f>_xlfn.LET(_xlpm.inicio,MAX($D156,L$3),_xlpm.fin,MIN($E156,L$4),_xlpm.feriados,IF($H156="CO",FER_CO,FER_EC),_xlpm.dias,IF(_xlpm.inicio&gt;_xlpm.fin,0,NETWORKDAYS(_xlpm.inicio,_xlpm.fin,_xlpm.feriados)),_xlpm.factor,IF($G156="Probable",IF(Parametros!$B$6="Sí",1,0),1),IF(OR($A156="",$D156="",$E156=""),0,_xlpm.dias*$I156*_xlpm.factor))</f>
        <v/>
      </c>
      <c r="M156" s="33">
        <f>_xlfn.LET(_xlpm.inicio,MAX($D156,M$3),_xlpm.fin,MIN($E156,M$4),_xlpm.feriados,IF($H156="CO",FER_CO,FER_EC),_xlpm.dias,IF(_xlpm.inicio&gt;_xlpm.fin,0,NETWORKDAYS(_xlpm.inicio,_xlpm.fin,_xlpm.feriados)),_xlpm.factor,IF($G156="Probable",IF(Parametros!$B$6="Sí",1,0),1),IF(OR($A156="",$D156="",$E156=""),0,_xlpm.dias*$I156*_xlpm.factor))</f>
        <v/>
      </c>
      <c r="N156" s="33">
        <f>_xlfn.LET(_xlpm.inicio,MAX($D156,N$3),_xlpm.fin,MIN($E156,N$4),_xlpm.feriados,IF($H156="CO",FER_CO,FER_EC),_xlpm.dias,IF(_xlpm.inicio&gt;_xlpm.fin,0,NETWORKDAYS(_xlpm.inicio,_xlpm.fin,_xlpm.feriados)),_xlpm.factor,IF($G156="Probable",IF(Parametros!$B$6="Sí",1,0),1),IF(OR($A156="",$D156="",$E156=""),0,_xlpm.dias*$I156*_xlpm.factor))</f>
        <v/>
      </c>
      <c r="O156" s="33">
        <f>_xlfn.LET(_xlpm.inicio,MAX($D156,O$3),_xlpm.fin,MIN($E156,O$4),_xlpm.feriados,IF($H156="CO",FER_CO,FER_EC),_xlpm.dias,IF(_xlpm.inicio&gt;_xlpm.fin,0,NETWORKDAYS(_xlpm.inicio,_xlpm.fin,_xlpm.feriados)),_xlpm.factor,IF($G156="Probable",IF(Parametros!$B$6="Sí",1,0),1),IF(OR($A156="",$D156="",$E156=""),0,_xlpm.dias*$I156*_xlpm.factor))</f>
        <v/>
      </c>
      <c r="P156" s="34">
        <f>_xlfn.LET(_xlpm.horas,J156,_xlpm.feriados,IF($H156="CO",FER_CO,FER_EC),_xlpm.capacidad,NETWORKDAYS(J$3,J$4,_xlpm.feriados)*INDEX(Consultores!$C$6:$C$65,MATCH($A156,Consultores!$A$6:$A$65,0)),IF(_xlpm.horas=0,"",IFERROR(_xlpm.horas/_xlpm.capacidad,"")))</f>
        <v/>
      </c>
      <c r="Q156" s="34">
        <f>_xlfn.LET(_xlpm.horas,K156,_xlpm.feriados,IF($H156="CO",FER_CO,FER_EC),_xlpm.capacidad,NETWORKDAYS(K$3,K$4,_xlpm.feriados)*INDEX(Consultores!$C$6:$C$65,MATCH($A156,Consultores!$A$6:$A$65,0)),IF(_xlpm.horas=0,"",IFERROR(_xlpm.horas/_xlpm.capacidad,"")))</f>
        <v/>
      </c>
      <c r="R156" s="34">
        <f>_xlfn.LET(_xlpm.horas,L156,_xlpm.feriados,IF($H156="CO",FER_CO,FER_EC),_xlpm.capacidad,NETWORKDAYS(L$3,L$4,_xlpm.feriados)*INDEX(Consultores!$C$6:$C$65,MATCH($A156,Consultores!$A$6:$A$65,0)),IF(_xlpm.horas=0,"",IFERROR(_xlpm.horas/_xlpm.capacidad,"")))</f>
        <v/>
      </c>
      <c r="S156" s="34">
        <f>_xlfn.LET(_xlpm.horas,M156,_xlpm.feriados,IF($H156="CO",FER_CO,FER_EC),_xlpm.capacidad,NETWORKDAYS(M$3,M$4,_xlpm.feriados)*INDEX(Consultores!$C$6:$C$65,MATCH($A156,Consultores!$A$6:$A$65,0)),IF(_xlpm.horas=0,"",IFERROR(_xlpm.horas/_xlpm.capacidad,"")))</f>
        <v/>
      </c>
      <c r="T156" s="34">
        <f>_xlfn.LET(_xlpm.horas,N156,_xlpm.feriados,IF($H156="CO",FER_CO,FER_EC),_xlpm.capacidad,NETWORKDAYS(N$3,N$4,_xlpm.feriados)*INDEX(Consultores!$C$6:$C$65,MATCH($A156,Consultores!$A$6:$A$65,0)),IF(_xlpm.horas=0,"",IFERROR(_xlpm.horas/_xlpm.capacidad,"")))</f>
        <v/>
      </c>
      <c r="U156" s="34">
        <f>_xlfn.LET(_xlpm.horas,O156,_xlpm.feriados,IF($H156="CO",FER_CO,FER_EC),_xlpm.capacidad,NETWORKDAYS(O$3,O$4,_xlpm.feriados)*INDEX(Consultores!$C$6:$C$65,MATCH($A156,Consultores!$A$6:$A$65,0)),IF(_xlpm.horas=0,"",IFERROR(_xlpm.horas/_xlpm.capacidad,"")))</f>
        <v/>
      </c>
    </row>
    <row r="157">
      <c r="A157" s="25" t="n"/>
      <c r="B157" s="25" t="n"/>
      <c r="C157" s="25" t="n"/>
      <c r="D157" s="30" t="n"/>
      <c r="E157" s="30" t="n"/>
      <c r="F157" s="26" t="n"/>
      <c r="G157" s="25" t="n"/>
      <c r="H157" s="31">
        <f>IF($A157="","",IFERROR(INDEX(Consultores!$B$6:$B$65,MATCH($A157,Consultores!$A$6:$A$65,0)),"No existe"))</f>
        <v/>
      </c>
      <c r="I157" s="32">
        <f>IF($F157="",0,$F157/5)</f>
        <v/>
      </c>
      <c r="J157" s="33">
        <f>_xlfn.LET(_xlpm.inicio,MAX($D157,J$3),_xlpm.fin,MIN($E157,J$4),_xlpm.feriados,IF($H157="CO",FER_CO,FER_EC),_xlpm.dias,IF(_xlpm.inicio&gt;_xlpm.fin,0,NETWORKDAYS(_xlpm.inicio,_xlpm.fin,_xlpm.feriados)),_xlpm.factor,IF($G157="Probable",IF(Parametros!$B$6="Sí",1,0),1),IF(OR($A157="",$D157="",$E157=""),0,_xlpm.dias*$I157*_xlpm.factor))</f>
        <v/>
      </c>
      <c r="K157" s="33">
        <f>_xlfn.LET(_xlpm.inicio,MAX($D157,K$3),_xlpm.fin,MIN($E157,K$4),_xlpm.feriados,IF($H157="CO",FER_CO,FER_EC),_xlpm.dias,IF(_xlpm.inicio&gt;_xlpm.fin,0,NETWORKDAYS(_xlpm.inicio,_xlpm.fin,_xlpm.feriados)),_xlpm.factor,IF($G157="Probable",IF(Parametros!$B$6="Sí",1,0),1),IF(OR($A157="",$D157="",$E157=""),0,_xlpm.dias*$I157*_xlpm.factor))</f>
        <v/>
      </c>
      <c r="L157" s="33">
        <f>_xlfn.LET(_xlpm.inicio,MAX($D157,L$3),_xlpm.fin,MIN($E157,L$4),_xlpm.feriados,IF($H157="CO",FER_CO,FER_EC),_xlpm.dias,IF(_xlpm.inicio&gt;_xlpm.fin,0,NETWORKDAYS(_xlpm.inicio,_xlpm.fin,_xlpm.feriados)),_xlpm.factor,IF($G157="Probable",IF(Parametros!$B$6="Sí",1,0),1),IF(OR($A157="",$D157="",$E157=""),0,_xlpm.dias*$I157*_xlpm.factor))</f>
        <v/>
      </c>
      <c r="M157" s="33">
        <f>_xlfn.LET(_xlpm.inicio,MAX($D157,M$3),_xlpm.fin,MIN($E157,M$4),_xlpm.feriados,IF($H157="CO",FER_CO,FER_EC),_xlpm.dias,IF(_xlpm.inicio&gt;_xlpm.fin,0,NETWORKDAYS(_xlpm.inicio,_xlpm.fin,_xlpm.feriados)),_xlpm.factor,IF($G157="Probable",IF(Parametros!$B$6="Sí",1,0),1),IF(OR($A157="",$D157="",$E157=""),0,_xlpm.dias*$I157*_xlpm.factor))</f>
        <v/>
      </c>
      <c r="N157" s="33">
        <f>_xlfn.LET(_xlpm.inicio,MAX($D157,N$3),_xlpm.fin,MIN($E157,N$4),_xlpm.feriados,IF($H157="CO",FER_CO,FER_EC),_xlpm.dias,IF(_xlpm.inicio&gt;_xlpm.fin,0,NETWORKDAYS(_xlpm.inicio,_xlpm.fin,_xlpm.feriados)),_xlpm.factor,IF($G157="Probable",IF(Parametros!$B$6="Sí",1,0),1),IF(OR($A157="",$D157="",$E157=""),0,_xlpm.dias*$I157*_xlpm.factor))</f>
        <v/>
      </c>
      <c r="O157" s="33">
        <f>_xlfn.LET(_xlpm.inicio,MAX($D157,O$3),_xlpm.fin,MIN($E157,O$4),_xlpm.feriados,IF($H157="CO",FER_CO,FER_EC),_xlpm.dias,IF(_xlpm.inicio&gt;_xlpm.fin,0,NETWORKDAYS(_xlpm.inicio,_xlpm.fin,_xlpm.feriados)),_xlpm.factor,IF($G157="Probable",IF(Parametros!$B$6="Sí",1,0),1),IF(OR($A157="",$D157="",$E157=""),0,_xlpm.dias*$I157*_xlpm.factor))</f>
        <v/>
      </c>
      <c r="P157" s="34">
        <f>_xlfn.LET(_xlpm.horas,J157,_xlpm.feriados,IF($H157="CO",FER_CO,FER_EC),_xlpm.capacidad,NETWORKDAYS(J$3,J$4,_xlpm.feriados)*INDEX(Consultores!$C$6:$C$65,MATCH($A157,Consultores!$A$6:$A$65,0)),IF(_xlpm.horas=0,"",IFERROR(_xlpm.horas/_xlpm.capacidad,"")))</f>
        <v/>
      </c>
      <c r="Q157" s="34">
        <f>_xlfn.LET(_xlpm.horas,K157,_xlpm.feriados,IF($H157="CO",FER_CO,FER_EC),_xlpm.capacidad,NETWORKDAYS(K$3,K$4,_xlpm.feriados)*INDEX(Consultores!$C$6:$C$65,MATCH($A157,Consultores!$A$6:$A$65,0)),IF(_xlpm.horas=0,"",IFERROR(_xlpm.horas/_xlpm.capacidad,"")))</f>
        <v/>
      </c>
      <c r="R157" s="34">
        <f>_xlfn.LET(_xlpm.horas,L157,_xlpm.feriados,IF($H157="CO",FER_CO,FER_EC),_xlpm.capacidad,NETWORKDAYS(L$3,L$4,_xlpm.feriados)*INDEX(Consultores!$C$6:$C$65,MATCH($A157,Consultores!$A$6:$A$65,0)),IF(_xlpm.horas=0,"",IFERROR(_xlpm.horas/_xlpm.capacidad,"")))</f>
        <v/>
      </c>
      <c r="S157" s="34">
        <f>_xlfn.LET(_xlpm.horas,M157,_xlpm.feriados,IF($H157="CO",FER_CO,FER_EC),_xlpm.capacidad,NETWORKDAYS(M$3,M$4,_xlpm.feriados)*INDEX(Consultores!$C$6:$C$65,MATCH($A157,Consultores!$A$6:$A$65,0)),IF(_xlpm.horas=0,"",IFERROR(_xlpm.horas/_xlpm.capacidad,"")))</f>
        <v/>
      </c>
      <c r="T157" s="34">
        <f>_xlfn.LET(_xlpm.horas,N157,_xlpm.feriados,IF($H157="CO",FER_CO,FER_EC),_xlpm.capacidad,NETWORKDAYS(N$3,N$4,_xlpm.feriados)*INDEX(Consultores!$C$6:$C$65,MATCH($A157,Consultores!$A$6:$A$65,0)),IF(_xlpm.horas=0,"",IFERROR(_xlpm.horas/_xlpm.capacidad,"")))</f>
        <v/>
      </c>
      <c r="U157" s="34">
        <f>_xlfn.LET(_xlpm.horas,O157,_xlpm.feriados,IF($H157="CO",FER_CO,FER_EC),_xlpm.capacidad,NETWORKDAYS(O$3,O$4,_xlpm.feriados)*INDEX(Consultores!$C$6:$C$65,MATCH($A157,Consultores!$A$6:$A$65,0)),IF(_xlpm.horas=0,"",IFERROR(_xlpm.horas/_xlpm.capacidad,"")))</f>
        <v/>
      </c>
    </row>
    <row r="158">
      <c r="A158" s="25" t="n"/>
      <c r="B158" s="25" t="n"/>
      <c r="C158" s="25" t="n"/>
      <c r="D158" s="30" t="n"/>
      <c r="E158" s="30" t="n"/>
      <c r="F158" s="26" t="n"/>
      <c r="G158" s="25" t="n"/>
      <c r="H158" s="31">
        <f>IF($A158="","",IFERROR(INDEX(Consultores!$B$6:$B$65,MATCH($A158,Consultores!$A$6:$A$65,0)),"No existe"))</f>
        <v/>
      </c>
      <c r="I158" s="32">
        <f>IF($F158="",0,$F158/5)</f>
        <v/>
      </c>
      <c r="J158" s="33">
        <f>_xlfn.LET(_xlpm.inicio,MAX($D158,J$3),_xlpm.fin,MIN($E158,J$4),_xlpm.feriados,IF($H158="CO",FER_CO,FER_EC),_xlpm.dias,IF(_xlpm.inicio&gt;_xlpm.fin,0,NETWORKDAYS(_xlpm.inicio,_xlpm.fin,_xlpm.feriados)),_xlpm.factor,IF($G158="Probable",IF(Parametros!$B$6="Sí",1,0),1),IF(OR($A158="",$D158="",$E158=""),0,_xlpm.dias*$I158*_xlpm.factor))</f>
        <v/>
      </c>
      <c r="K158" s="33">
        <f>_xlfn.LET(_xlpm.inicio,MAX($D158,K$3),_xlpm.fin,MIN($E158,K$4),_xlpm.feriados,IF($H158="CO",FER_CO,FER_EC),_xlpm.dias,IF(_xlpm.inicio&gt;_xlpm.fin,0,NETWORKDAYS(_xlpm.inicio,_xlpm.fin,_xlpm.feriados)),_xlpm.factor,IF($G158="Probable",IF(Parametros!$B$6="Sí",1,0),1),IF(OR($A158="",$D158="",$E158=""),0,_xlpm.dias*$I158*_xlpm.factor))</f>
        <v/>
      </c>
      <c r="L158" s="33">
        <f>_xlfn.LET(_xlpm.inicio,MAX($D158,L$3),_xlpm.fin,MIN($E158,L$4),_xlpm.feriados,IF($H158="CO",FER_CO,FER_EC),_xlpm.dias,IF(_xlpm.inicio&gt;_xlpm.fin,0,NETWORKDAYS(_xlpm.inicio,_xlpm.fin,_xlpm.feriados)),_xlpm.factor,IF($G158="Probable",IF(Parametros!$B$6="Sí",1,0),1),IF(OR($A158="",$D158="",$E158=""),0,_xlpm.dias*$I158*_xlpm.factor))</f>
        <v/>
      </c>
      <c r="M158" s="33">
        <f>_xlfn.LET(_xlpm.inicio,MAX($D158,M$3),_xlpm.fin,MIN($E158,M$4),_xlpm.feriados,IF($H158="CO",FER_CO,FER_EC),_xlpm.dias,IF(_xlpm.inicio&gt;_xlpm.fin,0,NETWORKDAYS(_xlpm.inicio,_xlpm.fin,_xlpm.feriados)),_xlpm.factor,IF($G158="Probable",IF(Parametros!$B$6="Sí",1,0),1),IF(OR($A158="",$D158="",$E158=""),0,_xlpm.dias*$I158*_xlpm.factor))</f>
        <v/>
      </c>
      <c r="N158" s="33">
        <f>_xlfn.LET(_xlpm.inicio,MAX($D158,N$3),_xlpm.fin,MIN($E158,N$4),_xlpm.feriados,IF($H158="CO",FER_CO,FER_EC),_xlpm.dias,IF(_xlpm.inicio&gt;_xlpm.fin,0,NETWORKDAYS(_xlpm.inicio,_xlpm.fin,_xlpm.feriados)),_xlpm.factor,IF($G158="Probable",IF(Parametros!$B$6="Sí",1,0),1),IF(OR($A158="",$D158="",$E158=""),0,_xlpm.dias*$I158*_xlpm.factor))</f>
        <v/>
      </c>
      <c r="O158" s="33">
        <f>_xlfn.LET(_xlpm.inicio,MAX($D158,O$3),_xlpm.fin,MIN($E158,O$4),_xlpm.feriados,IF($H158="CO",FER_CO,FER_EC),_xlpm.dias,IF(_xlpm.inicio&gt;_xlpm.fin,0,NETWORKDAYS(_xlpm.inicio,_xlpm.fin,_xlpm.feriados)),_xlpm.factor,IF($G158="Probable",IF(Parametros!$B$6="Sí",1,0),1),IF(OR($A158="",$D158="",$E158=""),0,_xlpm.dias*$I158*_xlpm.factor))</f>
        <v/>
      </c>
      <c r="P158" s="34">
        <f>_xlfn.LET(_xlpm.horas,J158,_xlpm.feriados,IF($H158="CO",FER_CO,FER_EC),_xlpm.capacidad,NETWORKDAYS(J$3,J$4,_xlpm.feriados)*INDEX(Consultores!$C$6:$C$65,MATCH($A158,Consultores!$A$6:$A$65,0)),IF(_xlpm.horas=0,"",IFERROR(_xlpm.horas/_xlpm.capacidad,"")))</f>
        <v/>
      </c>
      <c r="Q158" s="34">
        <f>_xlfn.LET(_xlpm.horas,K158,_xlpm.feriados,IF($H158="CO",FER_CO,FER_EC),_xlpm.capacidad,NETWORKDAYS(K$3,K$4,_xlpm.feriados)*INDEX(Consultores!$C$6:$C$65,MATCH($A158,Consultores!$A$6:$A$65,0)),IF(_xlpm.horas=0,"",IFERROR(_xlpm.horas/_xlpm.capacidad,"")))</f>
        <v/>
      </c>
      <c r="R158" s="34">
        <f>_xlfn.LET(_xlpm.horas,L158,_xlpm.feriados,IF($H158="CO",FER_CO,FER_EC),_xlpm.capacidad,NETWORKDAYS(L$3,L$4,_xlpm.feriados)*INDEX(Consultores!$C$6:$C$65,MATCH($A158,Consultores!$A$6:$A$65,0)),IF(_xlpm.horas=0,"",IFERROR(_xlpm.horas/_xlpm.capacidad,"")))</f>
        <v/>
      </c>
      <c r="S158" s="34">
        <f>_xlfn.LET(_xlpm.horas,M158,_xlpm.feriados,IF($H158="CO",FER_CO,FER_EC),_xlpm.capacidad,NETWORKDAYS(M$3,M$4,_xlpm.feriados)*INDEX(Consultores!$C$6:$C$65,MATCH($A158,Consultores!$A$6:$A$65,0)),IF(_xlpm.horas=0,"",IFERROR(_xlpm.horas/_xlpm.capacidad,"")))</f>
        <v/>
      </c>
      <c r="T158" s="34">
        <f>_xlfn.LET(_xlpm.horas,N158,_xlpm.feriados,IF($H158="CO",FER_CO,FER_EC),_xlpm.capacidad,NETWORKDAYS(N$3,N$4,_xlpm.feriados)*INDEX(Consultores!$C$6:$C$65,MATCH($A158,Consultores!$A$6:$A$65,0)),IF(_xlpm.horas=0,"",IFERROR(_xlpm.horas/_xlpm.capacidad,"")))</f>
        <v/>
      </c>
      <c r="U158" s="34">
        <f>_xlfn.LET(_xlpm.horas,O158,_xlpm.feriados,IF($H158="CO",FER_CO,FER_EC),_xlpm.capacidad,NETWORKDAYS(O$3,O$4,_xlpm.feriados)*INDEX(Consultores!$C$6:$C$65,MATCH($A158,Consultores!$A$6:$A$65,0)),IF(_xlpm.horas=0,"",IFERROR(_xlpm.horas/_xlpm.capacidad,"")))</f>
        <v/>
      </c>
    </row>
    <row r="159">
      <c r="A159" s="25" t="n"/>
      <c r="B159" s="25" t="n"/>
      <c r="C159" s="25" t="n"/>
      <c r="D159" s="30" t="n"/>
      <c r="E159" s="30" t="n"/>
      <c r="F159" s="26" t="n"/>
      <c r="G159" s="25" t="n"/>
      <c r="H159" s="31">
        <f>IF($A159="","",IFERROR(INDEX(Consultores!$B$6:$B$65,MATCH($A159,Consultores!$A$6:$A$65,0)),"No existe"))</f>
        <v/>
      </c>
      <c r="I159" s="32">
        <f>IF($F159="",0,$F159/5)</f>
        <v/>
      </c>
      <c r="J159" s="33">
        <f>_xlfn.LET(_xlpm.inicio,MAX($D159,J$3),_xlpm.fin,MIN($E159,J$4),_xlpm.feriados,IF($H159="CO",FER_CO,FER_EC),_xlpm.dias,IF(_xlpm.inicio&gt;_xlpm.fin,0,NETWORKDAYS(_xlpm.inicio,_xlpm.fin,_xlpm.feriados)),_xlpm.factor,IF($G159="Probable",IF(Parametros!$B$6="Sí",1,0),1),IF(OR($A159="",$D159="",$E159=""),0,_xlpm.dias*$I159*_xlpm.factor))</f>
        <v/>
      </c>
      <c r="K159" s="33">
        <f>_xlfn.LET(_xlpm.inicio,MAX($D159,K$3),_xlpm.fin,MIN($E159,K$4),_xlpm.feriados,IF($H159="CO",FER_CO,FER_EC),_xlpm.dias,IF(_xlpm.inicio&gt;_xlpm.fin,0,NETWORKDAYS(_xlpm.inicio,_xlpm.fin,_xlpm.feriados)),_xlpm.factor,IF($G159="Probable",IF(Parametros!$B$6="Sí",1,0),1),IF(OR($A159="",$D159="",$E159=""),0,_xlpm.dias*$I159*_xlpm.factor))</f>
        <v/>
      </c>
      <c r="L159" s="33">
        <f>_xlfn.LET(_xlpm.inicio,MAX($D159,L$3),_xlpm.fin,MIN($E159,L$4),_xlpm.feriados,IF($H159="CO",FER_CO,FER_EC),_xlpm.dias,IF(_xlpm.inicio&gt;_xlpm.fin,0,NETWORKDAYS(_xlpm.inicio,_xlpm.fin,_xlpm.feriados)),_xlpm.factor,IF($G159="Probable",IF(Parametros!$B$6="Sí",1,0),1),IF(OR($A159="",$D159="",$E159=""),0,_xlpm.dias*$I159*_xlpm.factor))</f>
        <v/>
      </c>
      <c r="M159" s="33">
        <f>_xlfn.LET(_xlpm.inicio,MAX($D159,M$3),_xlpm.fin,MIN($E159,M$4),_xlpm.feriados,IF($H159="CO",FER_CO,FER_EC),_xlpm.dias,IF(_xlpm.inicio&gt;_xlpm.fin,0,NETWORKDAYS(_xlpm.inicio,_xlpm.fin,_xlpm.feriados)),_xlpm.factor,IF($G159="Probable",IF(Parametros!$B$6="Sí",1,0),1),IF(OR($A159="",$D159="",$E159=""),0,_xlpm.dias*$I159*_xlpm.factor))</f>
        <v/>
      </c>
      <c r="N159" s="33">
        <f>_xlfn.LET(_xlpm.inicio,MAX($D159,N$3),_xlpm.fin,MIN($E159,N$4),_xlpm.feriados,IF($H159="CO",FER_CO,FER_EC),_xlpm.dias,IF(_xlpm.inicio&gt;_xlpm.fin,0,NETWORKDAYS(_xlpm.inicio,_xlpm.fin,_xlpm.feriados)),_xlpm.factor,IF($G159="Probable",IF(Parametros!$B$6="Sí",1,0),1),IF(OR($A159="",$D159="",$E159=""),0,_xlpm.dias*$I159*_xlpm.factor))</f>
        <v/>
      </c>
      <c r="O159" s="33">
        <f>_xlfn.LET(_xlpm.inicio,MAX($D159,O$3),_xlpm.fin,MIN($E159,O$4),_xlpm.feriados,IF($H159="CO",FER_CO,FER_EC),_xlpm.dias,IF(_xlpm.inicio&gt;_xlpm.fin,0,NETWORKDAYS(_xlpm.inicio,_xlpm.fin,_xlpm.feriados)),_xlpm.factor,IF($G159="Probable",IF(Parametros!$B$6="Sí",1,0),1),IF(OR($A159="",$D159="",$E159=""),0,_xlpm.dias*$I159*_xlpm.factor))</f>
        <v/>
      </c>
      <c r="P159" s="34">
        <f>_xlfn.LET(_xlpm.horas,J159,_xlpm.feriados,IF($H159="CO",FER_CO,FER_EC),_xlpm.capacidad,NETWORKDAYS(J$3,J$4,_xlpm.feriados)*INDEX(Consultores!$C$6:$C$65,MATCH($A159,Consultores!$A$6:$A$65,0)),IF(_xlpm.horas=0,"",IFERROR(_xlpm.horas/_xlpm.capacidad,"")))</f>
        <v/>
      </c>
      <c r="Q159" s="34">
        <f>_xlfn.LET(_xlpm.horas,K159,_xlpm.feriados,IF($H159="CO",FER_CO,FER_EC),_xlpm.capacidad,NETWORKDAYS(K$3,K$4,_xlpm.feriados)*INDEX(Consultores!$C$6:$C$65,MATCH($A159,Consultores!$A$6:$A$65,0)),IF(_xlpm.horas=0,"",IFERROR(_xlpm.horas/_xlpm.capacidad,"")))</f>
        <v/>
      </c>
      <c r="R159" s="34">
        <f>_xlfn.LET(_xlpm.horas,L159,_xlpm.feriados,IF($H159="CO",FER_CO,FER_EC),_xlpm.capacidad,NETWORKDAYS(L$3,L$4,_xlpm.feriados)*INDEX(Consultores!$C$6:$C$65,MATCH($A159,Consultores!$A$6:$A$65,0)),IF(_xlpm.horas=0,"",IFERROR(_xlpm.horas/_xlpm.capacidad,"")))</f>
        <v/>
      </c>
      <c r="S159" s="34">
        <f>_xlfn.LET(_xlpm.horas,M159,_xlpm.feriados,IF($H159="CO",FER_CO,FER_EC),_xlpm.capacidad,NETWORKDAYS(M$3,M$4,_xlpm.feriados)*INDEX(Consultores!$C$6:$C$65,MATCH($A159,Consultores!$A$6:$A$65,0)),IF(_xlpm.horas=0,"",IFERROR(_xlpm.horas/_xlpm.capacidad,"")))</f>
        <v/>
      </c>
      <c r="T159" s="34">
        <f>_xlfn.LET(_xlpm.horas,N159,_xlpm.feriados,IF($H159="CO",FER_CO,FER_EC),_xlpm.capacidad,NETWORKDAYS(N$3,N$4,_xlpm.feriados)*INDEX(Consultores!$C$6:$C$65,MATCH($A159,Consultores!$A$6:$A$65,0)),IF(_xlpm.horas=0,"",IFERROR(_xlpm.horas/_xlpm.capacidad,"")))</f>
        <v/>
      </c>
      <c r="U159" s="34">
        <f>_xlfn.LET(_xlpm.horas,O159,_xlpm.feriados,IF($H159="CO",FER_CO,FER_EC),_xlpm.capacidad,NETWORKDAYS(O$3,O$4,_xlpm.feriados)*INDEX(Consultores!$C$6:$C$65,MATCH($A159,Consultores!$A$6:$A$65,0)),IF(_xlpm.horas=0,"",IFERROR(_xlpm.horas/_xlpm.capacidad,"")))</f>
        <v/>
      </c>
    </row>
    <row r="160">
      <c r="A160" s="25" t="n"/>
      <c r="B160" s="25" t="n"/>
      <c r="C160" s="25" t="n"/>
      <c r="D160" s="30" t="n"/>
      <c r="E160" s="30" t="n"/>
      <c r="F160" s="26" t="n"/>
      <c r="G160" s="25" t="n"/>
      <c r="H160" s="31">
        <f>IF($A160="","",IFERROR(INDEX(Consultores!$B$6:$B$65,MATCH($A160,Consultores!$A$6:$A$65,0)),"No existe"))</f>
        <v/>
      </c>
      <c r="I160" s="32">
        <f>IF($F160="",0,$F160/5)</f>
        <v/>
      </c>
      <c r="J160" s="33">
        <f>_xlfn.LET(_xlpm.inicio,MAX($D160,J$3),_xlpm.fin,MIN($E160,J$4),_xlpm.feriados,IF($H160="CO",FER_CO,FER_EC),_xlpm.dias,IF(_xlpm.inicio&gt;_xlpm.fin,0,NETWORKDAYS(_xlpm.inicio,_xlpm.fin,_xlpm.feriados)),_xlpm.factor,IF($G160="Probable",IF(Parametros!$B$6="Sí",1,0),1),IF(OR($A160="",$D160="",$E160=""),0,_xlpm.dias*$I160*_xlpm.factor))</f>
        <v/>
      </c>
      <c r="K160" s="33">
        <f>_xlfn.LET(_xlpm.inicio,MAX($D160,K$3),_xlpm.fin,MIN($E160,K$4),_xlpm.feriados,IF($H160="CO",FER_CO,FER_EC),_xlpm.dias,IF(_xlpm.inicio&gt;_xlpm.fin,0,NETWORKDAYS(_xlpm.inicio,_xlpm.fin,_xlpm.feriados)),_xlpm.factor,IF($G160="Probable",IF(Parametros!$B$6="Sí",1,0),1),IF(OR($A160="",$D160="",$E160=""),0,_xlpm.dias*$I160*_xlpm.factor))</f>
        <v/>
      </c>
      <c r="L160" s="33">
        <f>_xlfn.LET(_xlpm.inicio,MAX($D160,L$3),_xlpm.fin,MIN($E160,L$4),_xlpm.feriados,IF($H160="CO",FER_CO,FER_EC),_xlpm.dias,IF(_xlpm.inicio&gt;_xlpm.fin,0,NETWORKDAYS(_xlpm.inicio,_xlpm.fin,_xlpm.feriados)),_xlpm.factor,IF($G160="Probable",IF(Parametros!$B$6="Sí",1,0),1),IF(OR($A160="",$D160="",$E160=""),0,_xlpm.dias*$I160*_xlpm.factor))</f>
        <v/>
      </c>
      <c r="M160" s="33">
        <f>_xlfn.LET(_xlpm.inicio,MAX($D160,M$3),_xlpm.fin,MIN($E160,M$4),_xlpm.feriados,IF($H160="CO",FER_CO,FER_EC),_xlpm.dias,IF(_xlpm.inicio&gt;_xlpm.fin,0,NETWORKDAYS(_xlpm.inicio,_xlpm.fin,_xlpm.feriados)),_xlpm.factor,IF($G160="Probable",IF(Parametros!$B$6="Sí",1,0),1),IF(OR($A160="",$D160="",$E160=""),0,_xlpm.dias*$I160*_xlpm.factor))</f>
        <v/>
      </c>
      <c r="N160" s="33">
        <f>_xlfn.LET(_xlpm.inicio,MAX($D160,N$3),_xlpm.fin,MIN($E160,N$4),_xlpm.feriados,IF($H160="CO",FER_CO,FER_EC),_xlpm.dias,IF(_xlpm.inicio&gt;_xlpm.fin,0,NETWORKDAYS(_xlpm.inicio,_xlpm.fin,_xlpm.feriados)),_xlpm.factor,IF($G160="Probable",IF(Parametros!$B$6="Sí",1,0),1),IF(OR($A160="",$D160="",$E160=""),0,_xlpm.dias*$I160*_xlpm.factor))</f>
        <v/>
      </c>
      <c r="O160" s="33">
        <f>_xlfn.LET(_xlpm.inicio,MAX($D160,O$3),_xlpm.fin,MIN($E160,O$4),_xlpm.feriados,IF($H160="CO",FER_CO,FER_EC),_xlpm.dias,IF(_xlpm.inicio&gt;_xlpm.fin,0,NETWORKDAYS(_xlpm.inicio,_xlpm.fin,_xlpm.feriados)),_xlpm.factor,IF($G160="Probable",IF(Parametros!$B$6="Sí",1,0),1),IF(OR($A160="",$D160="",$E160=""),0,_xlpm.dias*$I160*_xlpm.factor))</f>
        <v/>
      </c>
      <c r="P160" s="34">
        <f>_xlfn.LET(_xlpm.horas,J160,_xlpm.feriados,IF($H160="CO",FER_CO,FER_EC),_xlpm.capacidad,NETWORKDAYS(J$3,J$4,_xlpm.feriados)*INDEX(Consultores!$C$6:$C$65,MATCH($A160,Consultores!$A$6:$A$65,0)),IF(_xlpm.horas=0,"",IFERROR(_xlpm.horas/_xlpm.capacidad,"")))</f>
        <v/>
      </c>
      <c r="Q160" s="34">
        <f>_xlfn.LET(_xlpm.horas,K160,_xlpm.feriados,IF($H160="CO",FER_CO,FER_EC),_xlpm.capacidad,NETWORKDAYS(K$3,K$4,_xlpm.feriados)*INDEX(Consultores!$C$6:$C$65,MATCH($A160,Consultores!$A$6:$A$65,0)),IF(_xlpm.horas=0,"",IFERROR(_xlpm.horas/_xlpm.capacidad,"")))</f>
        <v/>
      </c>
      <c r="R160" s="34">
        <f>_xlfn.LET(_xlpm.horas,L160,_xlpm.feriados,IF($H160="CO",FER_CO,FER_EC),_xlpm.capacidad,NETWORKDAYS(L$3,L$4,_xlpm.feriados)*INDEX(Consultores!$C$6:$C$65,MATCH($A160,Consultores!$A$6:$A$65,0)),IF(_xlpm.horas=0,"",IFERROR(_xlpm.horas/_xlpm.capacidad,"")))</f>
        <v/>
      </c>
      <c r="S160" s="34">
        <f>_xlfn.LET(_xlpm.horas,M160,_xlpm.feriados,IF($H160="CO",FER_CO,FER_EC),_xlpm.capacidad,NETWORKDAYS(M$3,M$4,_xlpm.feriados)*INDEX(Consultores!$C$6:$C$65,MATCH($A160,Consultores!$A$6:$A$65,0)),IF(_xlpm.horas=0,"",IFERROR(_xlpm.horas/_xlpm.capacidad,"")))</f>
        <v/>
      </c>
      <c r="T160" s="34">
        <f>_xlfn.LET(_xlpm.horas,N160,_xlpm.feriados,IF($H160="CO",FER_CO,FER_EC),_xlpm.capacidad,NETWORKDAYS(N$3,N$4,_xlpm.feriados)*INDEX(Consultores!$C$6:$C$65,MATCH($A160,Consultores!$A$6:$A$65,0)),IF(_xlpm.horas=0,"",IFERROR(_xlpm.horas/_xlpm.capacidad,"")))</f>
        <v/>
      </c>
      <c r="U160" s="34">
        <f>_xlfn.LET(_xlpm.horas,O160,_xlpm.feriados,IF($H160="CO",FER_CO,FER_EC),_xlpm.capacidad,NETWORKDAYS(O$3,O$4,_xlpm.feriados)*INDEX(Consultores!$C$6:$C$65,MATCH($A160,Consultores!$A$6:$A$65,0)),IF(_xlpm.horas=0,"",IFERROR(_xlpm.horas/_xlpm.capacidad,"")))</f>
        <v/>
      </c>
    </row>
    <row r="161">
      <c r="A161" s="25" t="n"/>
      <c r="B161" s="25" t="n"/>
      <c r="C161" s="25" t="n"/>
      <c r="D161" s="30" t="n"/>
      <c r="E161" s="30" t="n"/>
      <c r="F161" s="26" t="n"/>
      <c r="G161" s="25" t="n"/>
      <c r="H161" s="31">
        <f>IF($A161="","",IFERROR(INDEX(Consultores!$B$6:$B$65,MATCH($A161,Consultores!$A$6:$A$65,0)),"No existe"))</f>
        <v/>
      </c>
      <c r="I161" s="32">
        <f>IF($F161="",0,$F161/5)</f>
        <v/>
      </c>
      <c r="J161" s="33">
        <f>_xlfn.LET(_xlpm.inicio,MAX($D161,J$3),_xlpm.fin,MIN($E161,J$4),_xlpm.feriados,IF($H161="CO",FER_CO,FER_EC),_xlpm.dias,IF(_xlpm.inicio&gt;_xlpm.fin,0,NETWORKDAYS(_xlpm.inicio,_xlpm.fin,_xlpm.feriados)),_xlpm.factor,IF($G161="Probable",IF(Parametros!$B$6="Sí",1,0),1),IF(OR($A161="",$D161="",$E161=""),0,_xlpm.dias*$I161*_xlpm.factor))</f>
        <v/>
      </c>
      <c r="K161" s="33">
        <f>_xlfn.LET(_xlpm.inicio,MAX($D161,K$3),_xlpm.fin,MIN($E161,K$4),_xlpm.feriados,IF($H161="CO",FER_CO,FER_EC),_xlpm.dias,IF(_xlpm.inicio&gt;_xlpm.fin,0,NETWORKDAYS(_xlpm.inicio,_xlpm.fin,_xlpm.feriados)),_xlpm.factor,IF($G161="Probable",IF(Parametros!$B$6="Sí",1,0),1),IF(OR($A161="",$D161="",$E161=""),0,_xlpm.dias*$I161*_xlpm.factor))</f>
        <v/>
      </c>
      <c r="L161" s="33">
        <f>_xlfn.LET(_xlpm.inicio,MAX($D161,L$3),_xlpm.fin,MIN($E161,L$4),_xlpm.feriados,IF($H161="CO",FER_CO,FER_EC),_xlpm.dias,IF(_xlpm.inicio&gt;_xlpm.fin,0,NETWORKDAYS(_xlpm.inicio,_xlpm.fin,_xlpm.feriados)),_xlpm.factor,IF($G161="Probable",IF(Parametros!$B$6="Sí",1,0),1),IF(OR($A161="",$D161="",$E161=""),0,_xlpm.dias*$I161*_xlpm.factor))</f>
        <v/>
      </c>
      <c r="M161" s="33">
        <f>_xlfn.LET(_xlpm.inicio,MAX($D161,M$3),_xlpm.fin,MIN($E161,M$4),_xlpm.feriados,IF($H161="CO",FER_CO,FER_EC),_xlpm.dias,IF(_xlpm.inicio&gt;_xlpm.fin,0,NETWORKDAYS(_xlpm.inicio,_xlpm.fin,_xlpm.feriados)),_xlpm.factor,IF($G161="Probable",IF(Parametros!$B$6="Sí",1,0),1),IF(OR($A161="",$D161="",$E161=""),0,_xlpm.dias*$I161*_xlpm.factor))</f>
        <v/>
      </c>
      <c r="N161" s="33">
        <f>_xlfn.LET(_xlpm.inicio,MAX($D161,N$3),_xlpm.fin,MIN($E161,N$4),_xlpm.feriados,IF($H161="CO",FER_CO,FER_EC),_xlpm.dias,IF(_xlpm.inicio&gt;_xlpm.fin,0,NETWORKDAYS(_xlpm.inicio,_xlpm.fin,_xlpm.feriados)),_xlpm.factor,IF($G161="Probable",IF(Parametros!$B$6="Sí",1,0),1),IF(OR($A161="",$D161="",$E161=""),0,_xlpm.dias*$I161*_xlpm.factor))</f>
        <v/>
      </c>
      <c r="O161" s="33">
        <f>_xlfn.LET(_xlpm.inicio,MAX($D161,O$3),_xlpm.fin,MIN($E161,O$4),_xlpm.feriados,IF($H161="CO",FER_CO,FER_EC),_xlpm.dias,IF(_xlpm.inicio&gt;_xlpm.fin,0,NETWORKDAYS(_xlpm.inicio,_xlpm.fin,_xlpm.feriados)),_xlpm.factor,IF($G161="Probable",IF(Parametros!$B$6="Sí",1,0),1),IF(OR($A161="",$D161="",$E161=""),0,_xlpm.dias*$I161*_xlpm.factor))</f>
        <v/>
      </c>
      <c r="P161" s="34">
        <f>_xlfn.LET(_xlpm.horas,J161,_xlpm.feriados,IF($H161="CO",FER_CO,FER_EC),_xlpm.capacidad,NETWORKDAYS(J$3,J$4,_xlpm.feriados)*INDEX(Consultores!$C$6:$C$65,MATCH($A161,Consultores!$A$6:$A$65,0)),IF(_xlpm.horas=0,"",IFERROR(_xlpm.horas/_xlpm.capacidad,"")))</f>
        <v/>
      </c>
      <c r="Q161" s="34">
        <f>_xlfn.LET(_xlpm.horas,K161,_xlpm.feriados,IF($H161="CO",FER_CO,FER_EC),_xlpm.capacidad,NETWORKDAYS(K$3,K$4,_xlpm.feriados)*INDEX(Consultores!$C$6:$C$65,MATCH($A161,Consultores!$A$6:$A$65,0)),IF(_xlpm.horas=0,"",IFERROR(_xlpm.horas/_xlpm.capacidad,"")))</f>
        <v/>
      </c>
      <c r="R161" s="34">
        <f>_xlfn.LET(_xlpm.horas,L161,_xlpm.feriados,IF($H161="CO",FER_CO,FER_EC),_xlpm.capacidad,NETWORKDAYS(L$3,L$4,_xlpm.feriados)*INDEX(Consultores!$C$6:$C$65,MATCH($A161,Consultores!$A$6:$A$65,0)),IF(_xlpm.horas=0,"",IFERROR(_xlpm.horas/_xlpm.capacidad,"")))</f>
        <v/>
      </c>
      <c r="S161" s="34">
        <f>_xlfn.LET(_xlpm.horas,M161,_xlpm.feriados,IF($H161="CO",FER_CO,FER_EC),_xlpm.capacidad,NETWORKDAYS(M$3,M$4,_xlpm.feriados)*INDEX(Consultores!$C$6:$C$65,MATCH($A161,Consultores!$A$6:$A$65,0)),IF(_xlpm.horas=0,"",IFERROR(_xlpm.horas/_xlpm.capacidad,"")))</f>
        <v/>
      </c>
      <c r="T161" s="34">
        <f>_xlfn.LET(_xlpm.horas,N161,_xlpm.feriados,IF($H161="CO",FER_CO,FER_EC),_xlpm.capacidad,NETWORKDAYS(N$3,N$4,_xlpm.feriados)*INDEX(Consultores!$C$6:$C$65,MATCH($A161,Consultores!$A$6:$A$65,0)),IF(_xlpm.horas=0,"",IFERROR(_xlpm.horas/_xlpm.capacidad,"")))</f>
        <v/>
      </c>
      <c r="U161" s="34">
        <f>_xlfn.LET(_xlpm.horas,O161,_xlpm.feriados,IF($H161="CO",FER_CO,FER_EC),_xlpm.capacidad,NETWORKDAYS(O$3,O$4,_xlpm.feriados)*INDEX(Consultores!$C$6:$C$65,MATCH($A161,Consultores!$A$6:$A$65,0)),IF(_xlpm.horas=0,"",IFERROR(_xlpm.horas/_xlpm.capacidad,"")))</f>
        <v/>
      </c>
    </row>
    <row r="162">
      <c r="A162" s="25" t="n"/>
      <c r="B162" s="25" t="n"/>
      <c r="C162" s="25" t="n"/>
      <c r="D162" s="30" t="n"/>
      <c r="E162" s="30" t="n"/>
      <c r="F162" s="26" t="n"/>
      <c r="G162" s="25" t="n"/>
      <c r="H162" s="31">
        <f>IF($A162="","",IFERROR(INDEX(Consultores!$B$6:$B$65,MATCH($A162,Consultores!$A$6:$A$65,0)),"No existe"))</f>
        <v/>
      </c>
      <c r="I162" s="32">
        <f>IF($F162="",0,$F162/5)</f>
        <v/>
      </c>
      <c r="J162" s="33">
        <f>_xlfn.LET(_xlpm.inicio,MAX($D162,J$3),_xlpm.fin,MIN($E162,J$4),_xlpm.feriados,IF($H162="CO",FER_CO,FER_EC),_xlpm.dias,IF(_xlpm.inicio&gt;_xlpm.fin,0,NETWORKDAYS(_xlpm.inicio,_xlpm.fin,_xlpm.feriados)),_xlpm.factor,IF($G162="Probable",IF(Parametros!$B$6="Sí",1,0),1),IF(OR($A162="",$D162="",$E162=""),0,_xlpm.dias*$I162*_xlpm.factor))</f>
        <v/>
      </c>
      <c r="K162" s="33">
        <f>_xlfn.LET(_xlpm.inicio,MAX($D162,K$3),_xlpm.fin,MIN($E162,K$4),_xlpm.feriados,IF($H162="CO",FER_CO,FER_EC),_xlpm.dias,IF(_xlpm.inicio&gt;_xlpm.fin,0,NETWORKDAYS(_xlpm.inicio,_xlpm.fin,_xlpm.feriados)),_xlpm.factor,IF($G162="Probable",IF(Parametros!$B$6="Sí",1,0),1),IF(OR($A162="",$D162="",$E162=""),0,_xlpm.dias*$I162*_xlpm.factor))</f>
        <v/>
      </c>
      <c r="L162" s="33">
        <f>_xlfn.LET(_xlpm.inicio,MAX($D162,L$3),_xlpm.fin,MIN($E162,L$4),_xlpm.feriados,IF($H162="CO",FER_CO,FER_EC),_xlpm.dias,IF(_xlpm.inicio&gt;_xlpm.fin,0,NETWORKDAYS(_xlpm.inicio,_xlpm.fin,_xlpm.feriados)),_xlpm.factor,IF($G162="Probable",IF(Parametros!$B$6="Sí",1,0),1),IF(OR($A162="",$D162="",$E162=""),0,_xlpm.dias*$I162*_xlpm.factor))</f>
        <v/>
      </c>
      <c r="M162" s="33">
        <f>_xlfn.LET(_xlpm.inicio,MAX($D162,M$3),_xlpm.fin,MIN($E162,M$4),_xlpm.feriados,IF($H162="CO",FER_CO,FER_EC),_xlpm.dias,IF(_xlpm.inicio&gt;_xlpm.fin,0,NETWORKDAYS(_xlpm.inicio,_xlpm.fin,_xlpm.feriados)),_xlpm.factor,IF($G162="Probable",IF(Parametros!$B$6="Sí",1,0),1),IF(OR($A162="",$D162="",$E162=""),0,_xlpm.dias*$I162*_xlpm.factor))</f>
        <v/>
      </c>
      <c r="N162" s="33">
        <f>_xlfn.LET(_xlpm.inicio,MAX($D162,N$3),_xlpm.fin,MIN($E162,N$4),_xlpm.feriados,IF($H162="CO",FER_CO,FER_EC),_xlpm.dias,IF(_xlpm.inicio&gt;_xlpm.fin,0,NETWORKDAYS(_xlpm.inicio,_xlpm.fin,_xlpm.feriados)),_xlpm.factor,IF($G162="Probable",IF(Parametros!$B$6="Sí",1,0),1),IF(OR($A162="",$D162="",$E162=""),0,_xlpm.dias*$I162*_xlpm.factor))</f>
        <v/>
      </c>
      <c r="O162" s="33">
        <f>_xlfn.LET(_xlpm.inicio,MAX($D162,O$3),_xlpm.fin,MIN($E162,O$4),_xlpm.feriados,IF($H162="CO",FER_CO,FER_EC),_xlpm.dias,IF(_xlpm.inicio&gt;_xlpm.fin,0,NETWORKDAYS(_xlpm.inicio,_xlpm.fin,_xlpm.feriados)),_xlpm.factor,IF($G162="Probable",IF(Parametros!$B$6="Sí",1,0),1),IF(OR($A162="",$D162="",$E162=""),0,_xlpm.dias*$I162*_xlpm.factor))</f>
        <v/>
      </c>
      <c r="P162" s="34">
        <f>_xlfn.LET(_xlpm.horas,J162,_xlpm.feriados,IF($H162="CO",FER_CO,FER_EC),_xlpm.capacidad,NETWORKDAYS(J$3,J$4,_xlpm.feriados)*INDEX(Consultores!$C$6:$C$65,MATCH($A162,Consultores!$A$6:$A$65,0)),IF(_xlpm.horas=0,"",IFERROR(_xlpm.horas/_xlpm.capacidad,"")))</f>
        <v/>
      </c>
      <c r="Q162" s="34">
        <f>_xlfn.LET(_xlpm.horas,K162,_xlpm.feriados,IF($H162="CO",FER_CO,FER_EC),_xlpm.capacidad,NETWORKDAYS(K$3,K$4,_xlpm.feriados)*INDEX(Consultores!$C$6:$C$65,MATCH($A162,Consultores!$A$6:$A$65,0)),IF(_xlpm.horas=0,"",IFERROR(_xlpm.horas/_xlpm.capacidad,"")))</f>
        <v/>
      </c>
      <c r="R162" s="34">
        <f>_xlfn.LET(_xlpm.horas,L162,_xlpm.feriados,IF($H162="CO",FER_CO,FER_EC),_xlpm.capacidad,NETWORKDAYS(L$3,L$4,_xlpm.feriados)*INDEX(Consultores!$C$6:$C$65,MATCH($A162,Consultores!$A$6:$A$65,0)),IF(_xlpm.horas=0,"",IFERROR(_xlpm.horas/_xlpm.capacidad,"")))</f>
        <v/>
      </c>
      <c r="S162" s="34">
        <f>_xlfn.LET(_xlpm.horas,M162,_xlpm.feriados,IF($H162="CO",FER_CO,FER_EC),_xlpm.capacidad,NETWORKDAYS(M$3,M$4,_xlpm.feriados)*INDEX(Consultores!$C$6:$C$65,MATCH($A162,Consultores!$A$6:$A$65,0)),IF(_xlpm.horas=0,"",IFERROR(_xlpm.horas/_xlpm.capacidad,"")))</f>
        <v/>
      </c>
      <c r="T162" s="34">
        <f>_xlfn.LET(_xlpm.horas,N162,_xlpm.feriados,IF($H162="CO",FER_CO,FER_EC),_xlpm.capacidad,NETWORKDAYS(N$3,N$4,_xlpm.feriados)*INDEX(Consultores!$C$6:$C$65,MATCH($A162,Consultores!$A$6:$A$65,0)),IF(_xlpm.horas=0,"",IFERROR(_xlpm.horas/_xlpm.capacidad,"")))</f>
        <v/>
      </c>
      <c r="U162" s="34">
        <f>_xlfn.LET(_xlpm.horas,O162,_xlpm.feriados,IF($H162="CO",FER_CO,FER_EC),_xlpm.capacidad,NETWORKDAYS(O$3,O$4,_xlpm.feriados)*INDEX(Consultores!$C$6:$C$65,MATCH($A162,Consultores!$A$6:$A$65,0)),IF(_xlpm.horas=0,"",IFERROR(_xlpm.horas/_xlpm.capacidad,"")))</f>
        <v/>
      </c>
    </row>
    <row r="163">
      <c r="A163" s="25" t="n"/>
      <c r="B163" s="25" t="n"/>
      <c r="C163" s="25" t="n"/>
      <c r="D163" s="30" t="n"/>
      <c r="E163" s="30" t="n"/>
      <c r="F163" s="26" t="n"/>
      <c r="G163" s="25" t="n"/>
      <c r="H163" s="31">
        <f>IF($A163="","",IFERROR(INDEX(Consultores!$B$6:$B$65,MATCH($A163,Consultores!$A$6:$A$65,0)),"No existe"))</f>
        <v/>
      </c>
      <c r="I163" s="32">
        <f>IF($F163="",0,$F163/5)</f>
        <v/>
      </c>
      <c r="J163" s="33">
        <f>_xlfn.LET(_xlpm.inicio,MAX($D163,J$3),_xlpm.fin,MIN($E163,J$4),_xlpm.feriados,IF($H163="CO",FER_CO,FER_EC),_xlpm.dias,IF(_xlpm.inicio&gt;_xlpm.fin,0,NETWORKDAYS(_xlpm.inicio,_xlpm.fin,_xlpm.feriados)),_xlpm.factor,IF($G163="Probable",IF(Parametros!$B$6="Sí",1,0),1),IF(OR($A163="",$D163="",$E163=""),0,_xlpm.dias*$I163*_xlpm.factor))</f>
        <v/>
      </c>
      <c r="K163" s="33">
        <f>_xlfn.LET(_xlpm.inicio,MAX($D163,K$3),_xlpm.fin,MIN($E163,K$4),_xlpm.feriados,IF($H163="CO",FER_CO,FER_EC),_xlpm.dias,IF(_xlpm.inicio&gt;_xlpm.fin,0,NETWORKDAYS(_xlpm.inicio,_xlpm.fin,_xlpm.feriados)),_xlpm.factor,IF($G163="Probable",IF(Parametros!$B$6="Sí",1,0),1),IF(OR($A163="",$D163="",$E163=""),0,_xlpm.dias*$I163*_xlpm.factor))</f>
        <v/>
      </c>
      <c r="L163" s="33">
        <f>_xlfn.LET(_xlpm.inicio,MAX($D163,L$3),_xlpm.fin,MIN($E163,L$4),_xlpm.feriados,IF($H163="CO",FER_CO,FER_EC),_xlpm.dias,IF(_xlpm.inicio&gt;_xlpm.fin,0,NETWORKDAYS(_xlpm.inicio,_xlpm.fin,_xlpm.feriados)),_xlpm.factor,IF($G163="Probable",IF(Parametros!$B$6="Sí",1,0),1),IF(OR($A163="",$D163="",$E163=""),0,_xlpm.dias*$I163*_xlpm.factor))</f>
        <v/>
      </c>
      <c r="M163" s="33">
        <f>_xlfn.LET(_xlpm.inicio,MAX($D163,M$3),_xlpm.fin,MIN($E163,M$4),_xlpm.feriados,IF($H163="CO",FER_CO,FER_EC),_xlpm.dias,IF(_xlpm.inicio&gt;_xlpm.fin,0,NETWORKDAYS(_xlpm.inicio,_xlpm.fin,_xlpm.feriados)),_xlpm.factor,IF($G163="Probable",IF(Parametros!$B$6="Sí",1,0),1),IF(OR($A163="",$D163="",$E163=""),0,_xlpm.dias*$I163*_xlpm.factor))</f>
        <v/>
      </c>
      <c r="N163" s="33">
        <f>_xlfn.LET(_xlpm.inicio,MAX($D163,N$3),_xlpm.fin,MIN($E163,N$4),_xlpm.feriados,IF($H163="CO",FER_CO,FER_EC),_xlpm.dias,IF(_xlpm.inicio&gt;_xlpm.fin,0,NETWORKDAYS(_xlpm.inicio,_xlpm.fin,_xlpm.feriados)),_xlpm.factor,IF($G163="Probable",IF(Parametros!$B$6="Sí",1,0),1),IF(OR($A163="",$D163="",$E163=""),0,_xlpm.dias*$I163*_xlpm.factor))</f>
        <v/>
      </c>
      <c r="O163" s="33">
        <f>_xlfn.LET(_xlpm.inicio,MAX($D163,O$3),_xlpm.fin,MIN($E163,O$4),_xlpm.feriados,IF($H163="CO",FER_CO,FER_EC),_xlpm.dias,IF(_xlpm.inicio&gt;_xlpm.fin,0,NETWORKDAYS(_xlpm.inicio,_xlpm.fin,_xlpm.feriados)),_xlpm.factor,IF($G163="Probable",IF(Parametros!$B$6="Sí",1,0),1),IF(OR($A163="",$D163="",$E163=""),0,_xlpm.dias*$I163*_xlpm.factor))</f>
        <v/>
      </c>
      <c r="P163" s="34">
        <f>_xlfn.LET(_xlpm.horas,J163,_xlpm.feriados,IF($H163="CO",FER_CO,FER_EC),_xlpm.capacidad,NETWORKDAYS(J$3,J$4,_xlpm.feriados)*INDEX(Consultores!$C$6:$C$65,MATCH($A163,Consultores!$A$6:$A$65,0)),IF(_xlpm.horas=0,"",IFERROR(_xlpm.horas/_xlpm.capacidad,"")))</f>
        <v/>
      </c>
      <c r="Q163" s="34">
        <f>_xlfn.LET(_xlpm.horas,K163,_xlpm.feriados,IF($H163="CO",FER_CO,FER_EC),_xlpm.capacidad,NETWORKDAYS(K$3,K$4,_xlpm.feriados)*INDEX(Consultores!$C$6:$C$65,MATCH($A163,Consultores!$A$6:$A$65,0)),IF(_xlpm.horas=0,"",IFERROR(_xlpm.horas/_xlpm.capacidad,"")))</f>
        <v/>
      </c>
      <c r="R163" s="34">
        <f>_xlfn.LET(_xlpm.horas,L163,_xlpm.feriados,IF($H163="CO",FER_CO,FER_EC),_xlpm.capacidad,NETWORKDAYS(L$3,L$4,_xlpm.feriados)*INDEX(Consultores!$C$6:$C$65,MATCH($A163,Consultores!$A$6:$A$65,0)),IF(_xlpm.horas=0,"",IFERROR(_xlpm.horas/_xlpm.capacidad,"")))</f>
        <v/>
      </c>
      <c r="S163" s="34">
        <f>_xlfn.LET(_xlpm.horas,M163,_xlpm.feriados,IF($H163="CO",FER_CO,FER_EC),_xlpm.capacidad,NETWORKDAYS(M$3,M$4,_xlpm.feriados)*INDEX(Consultores!$C$6:$C$65,MATCH($A163,Consultores!$A$6:$A$65,0)),IF(_xlpm.horas=0,"",IFERROR(_xlpm.horas/_xlpm.capacidad,"")))</f>
        <v/>
      </c>
      <c r="T163" s="34">
        <f>_xlfn.LET(_xlpm.horas,N163,_xlpm.feriados,IF($H163="CO",FER_CO,FER_EC),_xlpm.capacidad,NETWORKDAYS(N$3,N$4,_xlpm.feriados)*INDEX(Consultores!$C$6:$C$65,MATCH($A163,Consultores!$A$6:$A$65,0)),IF(_xlpm.horas=0,"",IFERROR(_xlpm.horas/_xlpm.capacidad,"")))</f>
        <v/>
      </c>
      <c r="U163" s="34">
        <f>_xlfn.LET(_xlpm.horas,O163,_xlpm.feriados,IF($H163="CO",FER_CO,FER_EC),_xlpm.capacidad,NETWORKDAYS(O$3,O$4,_xlpm.feriados)*INDEX(Consultores!$C$6:$C$65,MATCH($A163,Consultores!$A$6:$A$65,0)),IF(_xlpm.horas=0,"",IFERROR(_xlpm.horas/_xlpm.capacidad,"")))</f>
        <v/>
      </c>
    </row>
    <row r="164">
      <c r="A164" s="25" t="n"/>
      <c r="B164" s="25" t="n"/>
      <c r="C164" s="25" t="n"/>
      <c r="D164" s="30" t="n"/>
      <c r="E164" s="30" t="n"/>
      <c r="F164" s="26" t="n"/>
      <c r="G164" s="25" t="n"/>
      <c r="H164" s="31">
        <f>IF($A164="","",IFERROR(INDEX(Consultores!$B$6:$B$65,MATCH($A164,Consultores!$A$6:$A$65,0)),"No existe"))</f>
        <v/>
      </c>
      <c r="I164" s="32">
        <f>IF($F164="",0,$F164/5)</f>
        <v/>
      </c>
      <c r="J164" s="33">
        <f>_xlfn.LET(_xlpm.inicio,MAX($D164,J$3),_xlpm.fin,MIN($E164,J$4),_xlpm.feriados,IF($H164="CO",FER_CO,FER_EC),_xlpm.dias,IF(_xlpm.inicio&gt;_xlpm.fin,0,NETWORKDAYS(_xlpm.inicio,_xlpm.fin,_xlpm.feriados)),_xlpm.factor,IF($G164="Probable",IF(Parametros!$B$6="Sí",1,0),1),IF(OR($A164="",$D164="",$E164=""),0,_xlpm.dias*$I164*_xlpm.factor))</f>
        <v/>
      </c>
      <c r="K164" s="33">
        <f>_xlfn.LET(_xlpm.inicio,MAX($D164,K$3),_xlpm.fin,MIN($E164,K$4),_xlpm.feriados,IF($H164="CO",FER_CO,FER_EC),_xlpm.dias,IF(_xlpm.inicio&gt;_xlpm.fin,0,NETWORKDAYS(_xlpm.inicio,_xlpm.fin,_xlpm.feriados)),_xlpm.factor,IF($G164="Probable",IF(Parametros!$B$6="Sí",1,0),1),IF(OR($A164="",$D164="",$E164=""),0,_xlpm.dias*$I164*_xlpm.factor))</f>
        <v/>
      </c>
      <c r="L164" s="33">
        <f>_xlfn.LET(_xlpm.inicio,MAX($D164,L$3),_xlpm.fin,MIN($E164,L$4),_xlpm.feriados,IF($H164="CO",FER_CO,FER_EC),_xlpm.dias,IF(_xlpm.inicio&gt;_xlpm.fin,0,NETWORKDAYS(_xlpm.inicio,_xlpm.fin,_xlpm.feriados)),_xlpm.factor,IF($G164="Probable",IF(Parametros!$B$6="Sí",1,0),1),IF(OR($A164="",$D164="",$E164=""),0,_xlpm.dias*$I164*_xlpm.factor))</f>
        <v/>
      </c>
      <c r="M164" s="33">
        <f>_xlfn.LET(_xlpm.inicio,MAX($D164,M$3),_xlpm.fin,MIN($E164,M$4),_xlpm.feriados,IF($H164="CO",FER_CO,FER_EC),_xlpm.dias,IF(_xlpm.inicio&gt;_xlpm.fin,0,NETWORKDAYS(_xlpm.inicio,_xlpm.fin,_xlpm.feriados)),_xlpm.factor,IF($G164="Probable",IF(Parametros!$B$6="Sí",1,0),1),IF(OR($A164="",$D164="",$E164=""),0,_xlpm.dias*$I164*_xlpm.factor))</f>
        <v/>
      </c>
      <c r="N164" s="33">
        <f>_xlfn.LET(_xlpm.inicio,MAX($D164,N$3),_xlpm.fin,MIN($E164,N$4),_xlpm.feriados,IF($H164="CO",FER_CO,FER_EC),_xlpm.dias,IF(_xlpm.inicio&gt;_xlpm.fin,0,NETWORKDAYS(_xlpm.inicio,_xlpm.fin,_xlpm.feriados)),_xlpm.factor,IF($G164="Probable",IF(Parametros!$B$6="Sí",1,0),1),IF(OR($A164="",$D164="",$E164=""),0,_xlpm.dias*$I164*_xlpm.factor))</f>
        <v/>
      </c>
      <c r="O164" s="33">
        <f>_xlfn.LET(_xlpm.inicio,MAX($D164,O$3),_xlpm.fin,MIN($E164,O$4),_xlpm.feriados,IF($H164="CO",FER_CO,FER_EC),_xlpm.dias,IF(_xlpm.inicio&gt;_xlpm.fin,0,NETWORKDAYS(_xlpm.inicio,_xlpm.fin,_xlpm.feriados)),_xlpm.factor,IF($G164="Probable",IF(Parametros!$B$6="Sí",1,0),1),IF(OR($A164="",$D164="",$E164=""),0,_xlpm.dias*$I164*_xlpm.factor))</f>
        <v/>
      </c>
      <c r="P164" s="34">
        <f>_xlfn.LET(_xlpm.horas,J164,_xlpm.feriados,IF($H164="CO",FER_CO,FER_EC),_xlpm.capacidad,NETWORKDAYS(J$3,J$4,_xlpm.feriados)*INDEX(Consultores!$C$6:$C$65,MATCH($A164,Consultores!$A$6:$A$65,0)),IF(_xlpm.horas=0,"",IFERROR(_xlpm.horas/_xlpm.capacidad,"")))</f>
        <v/>
      </c>
      <c r="Q164" s="34">
        <f>_xlfn.LET(_xlpm.horas,K164,_xlpm.feriados,IF($H164="CO",FER_CO,FER_EC),_xlpm.capacidad,NETWORKDAYS(K$3,K$4,_xlpm.feriados)*INDEX(Consultores!$C$6:$C$65,MATCH($A164,Consultores!$A$6:$A$65,0)),IF(_xlpm.horas=0,"",IFERROR(_xlpm.horas/_xlpm.capacidad,"")))</f>
        <v/>
      </c>
      <c r="R164" s="34">
        <f>_xlfn.LET(_xlpm.horas,L164,_xlpm.feriados,IF($H164="CO",FER_CO,FER_EC),_xlpm.capacidad,NETWORKDAYS(L$3,L$4,_xlpm.feriados)*INDEX(Consultores!$C$6:$C$65,MATCH($A164,Consultores!$A$6:$A$65,0)),IF(_xlpm.horas=0,"",IFERROR(_xlpm.horas/_xlpm.capacidad,"")))</f>
        <v/>
      </c>
      <c r="S164" s="34">
        <f>_xlfn.LET(_xlpm.horas,M164,_xlpm.feriados,IF($H164="CO",FER_CO,FER_EC),_xlpm.capacidad,NETWORKDAYS(M$3,M$4,_xlpm.feriados)*INDEX(Consultores!$C$6:$C$65,MATCH($A164,Consultores!$A$6:$A$65,0)),IF(_xlpm.horas=0,"",IFERROR(_xlpm.horas/_xlpm.capacidad,"")))</f>
        <v/>
      </c>
      <c r="T164" s="34">
        <f>_xlfn.LET(_xlpm.horas,N164,_xlpm.feriados,IF($H164="CO",FER_CO,FER_EC),_xlpm.capacidad,NETWORKDAYS(N$3,N$4,_xlpm.feriados)*INDEX(Consultores!$C$6:$C$65,MATCH($A164,Consultores!$A$6:$A$65,0)),IF(_xlpm.horas=0,"",IFERROR(_xlpm.horas/_xlpm.capacidad,"")))</f>
        <v/>
      </c>
      <c r="U164" s="34">
        <f>_xlfn.LET(_xlpm.horas,O164,_xlpm.feriados,IF($H164="CO",FER_CO,FER_EC),_xlpm.capacidad,NETWORKDAYS(O$3,O$4,_xlpm.feriados)*INDEX(Consultores!$C$6:$C$65,MATCH($A164,Consultores!$A$6:$A$65,0)),IF(_xlpm.horas=0,"",IFERROR(_xlpm.horas/_xlpm.capacidad,"")))</f>
        <v/>
      </c>
    </row>
    <row r="165">
      <c r="A165" s="25" t="n"/>
      <c r="B165" s="25" t="n"/>
      <c r="C165" s="25" t="n"/>
      <c r="D165" s="30" t="n"/>
      <c r="E165" s="30" t="n"/>
      <c r="F165" s="26" t="n"/>
      <c r="G165" s="25" t="n"/>
      <c r="H165" s="31">
        <f>IF($A165="","",IFERROR(INDEX(Consultores!$B$6:$B$65,MATCH($A165,Consultores!$A$6:$A$65,0)),"No existe"))</f>
        <v/>
      </c>
      <c r="I165" s="32">
        <f>IF($F165="",0,$F165/5)</f>
        <v/>
      </c>
      <c r="J165" s="33">
        <f>_xlfn.LET(_xlpm.inicio,MAX($D165,J$3),_xlpm.fin,MIN($E165,J$4),_xlpm.feriados,IF($H165="CO",FER_CO,FER_EC),_xlpm.dias,IF(_xlpm.inicio&gt;_xlpm.fin,0,NETWORKDAYS(_xlpm.inicio,_xlpm.fin,_xlpm.feriados)),_xlpm.factor,IF($G165="Probable",IF(Parametros!$B$6="Sí",1,0),1),IF(OR($A165="",$D165="",$E165=""),0,_xlpm.dias*$I165*_xlpm.factor))</f>
        <v/>
      </c>
      <c r="K165" s="33">
        <f>_xlfn.LET(_xlpm.inicio,MAX($D165,K$3),_xlpm.fin,MIN($E165,K$4),_xlpm.feriados,IF($H165="CO",FER_CO,FER_EC),_xlpm.dias,IF(_xlpm.inicio&gt;_xlpm.fin,0,NETWORKDAYS(_xlpm.inicio,_xlpm.fin,_xlpm.feriados)),_xlpm.factor,IF($G165="Probable",IF(Parametros!$B$6="Sí",1,0),1),IF(OR($A165="",$D165="",$E165=""),0,_xlpm.dias*$I165*_xlpm.factor))</f>
        <v/>
      </c>
      <c r="L165" s="33">
        <f>_xlfn.LET(_xlpm.inicio,MAX($D165,L$3),_xlpm.fin,MIN($E165,L$4),_xlpm.feriados,IF($H165="CO",FER_CO,FER_EC),_xlpm.dias,IF(_xlpm.inicio&gt;_xlpm.fin,0,NETWORKDAYS(_xlpm.inicio,_xlpm.fin,_xlpm.feriados)),_xlpm.factor,IF($G165="Probable",IF(Parametros!$B$6="Sí",1,0),1),IF(OR($A165="",$D165="",$E165=""),0,_xlpm.dias*$I165*_xlpm.factor))</f>
        <v/>
      </c>
      <c r="M165" s="33">
        <f>_xlfn.LET(_xlpm.inicio,MAX($D165,M$3),_xlpm.fin,MIN($E165,M$4),_xlpm.feriados,IF($H165="CO",FER_CO,FER_EC),_xlpm.dias,IF(_xlpm.inicio&gt;_xlpm.fin,0,NETWORKDAYS(_xlpm.inicio,_xlpm.fin,_xlpm.feriados)),_xlpm.factor,IF($G165="Probable",IF(Parametros!$B$6="Sí",1,0),1),IF(OR($A165="",$D165="",$E165=""),0,_xlpm.dias*$I165*_xlpm.factor))</f>
        <v/>
      </c>
      <c r="N165" s="33">
        <f>_xlfn.LET(_xlpm.inicio,MAX($D165,N$3),_xlpm.fin,MIN($E165,N$4),_xlpm.feriados,IF($H165="CO",FER_CO,FER_EC),_xlpm.dias,IF(_xlpm.inicio&gt;_xlpm.fin,0,NETWORKDAYS(_xlpm.inicio,_xlpm.fin,_xlpm.feriados)),_xlpm.factor,IF($G165="Probable",IF(Parametros!$B$6="Sí",1,0),1),IF(OR($A165="",$D165="",$E165=""),0,_xlpm.dias*$I165*_xlpm.factor))</f>
        <v/>
      </c>
      <c r="O165" s="33">
        <f>_xlfn.LET(_xlpm.inicio,MAX($D165,O$3),_xlpm.fin,MIN($E165,O$4),_xlpm.feriados,IF($H165="CO",FER_CO,FER_EC),_xlpm.dias,IF(_xlpm.inicio&gt;_xlpm.fin,0,NETWORKDAYS(_xlpm.inicio,_xlpm.fin,_xlpm.feriados)),_xlpm.factor,IF($G165="Probable",IF(Parametros!$B$6="Sí",1,0),1),IF(OR($A165="",$D165="",$E165=""),0,_xlpm.dias*$I165*_xlpm.factor))</f>
        <v/>
      </c>
      <c r="P165" s="34">
        <f>_xlfn.LET(_xlpm.horas,J165,_xlpm.feriados,IF($H165="CO",FER_CO,FER_EC),_xlpm.capacidad,NETWORKDAYS(J$3,J$4,_xlpm.feriados)*INDEX(Consultores!$C$6:$C$65,MATCH($A165,Consultores!$A$6:$A$65,0)),IF(_xlpm.horas=0,"",IFERROR(_xlpm.horas/_xlpm.capacidad,"")))</f>
        <v/>
      </c>
      <c r="Q165" s="34">
        <f>_xlfn.LET(_xlpm.horas,K165,_xlpm.feriados,IF($H165="CO",FER_CO,FER_EC),_xlpm.capacidad,NETWORKDAYS(K$3,K$4,_xlpm.feriados)*INDEX(Consultores!$C$6:$C$65,MATCH($A165,Consultores!$A$6:$A$65,0)),IF(_xlpm.horas=0,"",IFERROR(_xlpm.horas/_xlpm.capacidad,"")))</f>
        <v/>
      </c>
      <c r="R165" s="34">
        <f>_xlfn.LET(_xlpm.horas,L165,_xlpm.feriados,IF($H165="CO",FER_CO,FER_EC),_xlpm.capacidad,NETWORKDAYS(L$3,L$4,_xlpm.feriados)*INDEX(Consultores!$C$6:$C$65,MATCH($A165,Consultores!$A$6:$A$65,0)),IF(_xlpm.horas=0,"",IFERROR(_xlpm.horas/_xlpm.capacidad,"")))</f>
        <v/>
      </c>
      <c r="S165" s="34">
        <f>_xlfn.LET(_xlpm.horas,M165,_xlpm.feriados,IF($H165="CO",FER_CO,FER_EC),_xlpm.capacidad,NETWORKDAYS(M$3,M$4,_xlpm.feriados)*INDEX(Consultores!$C$6:$C$65,MATCH($A165,Consultores!$A$6:$A$65,0)),IF(_xlpm.horas=0,"",IFERROR(_xlpm.horas/_xlpm.capacidad,"")))</f>
        <v/>
      </c>
      <c r="T165" s="34">
        <f>_xlfn.LET(_xlpm.horas,N165,_xlpm.feriados,IF($H165="CO",FER_CO,FER_EC),_xlpm.capacidad,NETWORKDAYS(N$3,N$4,_xlpm.feriados)*INDEX(Consultores!$C$6:$C$65,MATCH($A165,Consultores!$A$6:$A$65,0)),IF(_xlpm.horas=0,"",IFERROR(_xlpm.horas/_xlpm.capacidad,"")))</f>
        <v/>
      </c>
      <c r="U165" s="34">
        <f>_xlfn.LET(_xlpm.horas,O165,_xlpm.feriados,IF($H165="CO",FER_CO,FER_EC),_xlpm.capacidad,NETWORKDAYS(O$3,O$4,_xlpm.feriados)*INDEX(Consultores!$C$6:$C$65,MATCH($A165,Consultores!$A$6:$A$65,0)),IF(_xlpm.horas=0,"",IFERROR(_xlpm.horas/_xlpm.capacidad,"")))</f>
        <v/>
      </c>
    </row>
    <row r="166">
      <c r="A166" s="25" t="n"/>
      <c r="B166" s="25" t="n"/>
      <c r="C166" s="25" t="n"/>
      <c r="D166" s="30" t="n"/>
      <c r="E166" s="30" t="n"/>
      <c r="F166" s="26" t="n"/>
      <c r="G166" s="25" t="n"/>
      <c r="H166" s="31">
        <f>IF($A166="","",IFERROR(INDEX(Consultores!$B$6:$B$65,MATCH($A166,Consultores!$A$6:$A$65,0)),"No existe"))</f>
        <v/>
      </c>
      <c r="I166" s="32">
        <f>IF($F166="",0,$F166/5)</f>
        <v/>
      </c>
      <c r="J166" s="33">
        <f>_xlfn.LET(_xlpm.inicio,MAX($D166,J$3),_xlpm.fin,MIN($E166,J$4),_xlpm.feriados,IF($H166="CO",FER_CO,FER_EC),_xlpm.dias,IF(_xlpm.inicio&gt;_xlpm.fin,0,NETWORKDAYS(_xlpm.inicio,_xlpm.fin,_xlpm.feriados)),_xlpm.factor,IF($G166="Probable",IF(Parametros!$B$6="Sí",1,0),1),IF(OR($A166="",$D166="",$E166=""),0,_xlpm.dias*$I166*_xlpm.factor))</f>
        <v/>
      </c>
      <c r="K166" s="33">
        <f>_xlfn.LET(_xlpm.inicio,MAX($D166,K$3),_xlpm.fin,MIN($E166,K$4),_xlpm.feriados,IF($H166="CO",FER_CO,FER_EC),_xlpm.dias,IF(_xlpm.inicio&gt;_xlpm.fin,0,NETWORKDAYS(_xlpm.inicio,_xlpm.fin,_xlpm.feriados)),_xlpm.factor,IF($G166="Probable",IF(Parametros!$B$6="Sí",1,0),1),IF(OR($A166="",$D166="",$E166=""),0,_xlpm.dias*$I166*_xlpm.factor))</f>
        <v/>
      </c>
      <c r="L166" s="33">
        <f>_xlfn.LET(_xlpm.inicio,MAX($D166,L$3),_xlpm.fin,MIN($E166,L$4),_xlpm.feriados,IF($H166="CO",FER_CO,FER_EC),_xlpm.dias,IF(_xlpm.inicio&gt;_xlpm.fin,0,NETWORKDAYS(_xlpm.inicio,_xlpm.fin,_xlpm.feriados)),_xlpm.factor,IF($G166="Probable",IF(Parametros!$B$6="Sí",1,0),1),IF(OR($A166="",$D166="",$E166=""),0,_xlpm.dias*$I166*_xlpm.factor))</f>
        <v/>
      </c>
      <c r="M166" s="33">
        <f>_xlfn.LET(_xlpm.inicio,MAX($D166,M$3),_xlpm.fin,MIN($E166,M$4),_xlpm.feriados,IF($H166="CO",FER_CO,FER_EC),_xlpm.dias,IF(_xlpm.inicio&gt;_xlpm.fin,0,NETWORKDAYS(_xlpm.inicio,_xlpm.fin,_xlpm.feriados)),_xlpm.factor,IF($G166="Probable",IF(Parametros!$B$6="Sí",1,0),1),IF(OR($A166="",$D166="",$E166=""),0,_xlpm.dias*$I166*_xlpm.factor))</f>
        <v/>
      </c>
      <c r="N166" s="33">
        <f>_xlfn.LET(_xlpm.inicio,MAX($D166,N$3),_xlpm.fin,MIN($E166,N$4),_xlpm.feriados,IF($H166="CO",FER_CO,FER_EC),_xlpm.dias,IF(_xlpm.inicio&gt;_xlpm.fin,0,NETWORKDAYS(_xlpm.inicio,_xlpm.fin,_xlpm.feriados)),_xlpm.factor,IF($G166="Probable",IF(Parametros!$B$6="Sí",1,0),1),IF(OR($A166="",$D166="",$E166=""),0,_xlpm.dias*$I166*_xlpm.factor))</f>
        <v/>
      </c>
      <c r="O166" s="33">
        <f>_xlfn.LET(_xlpm.inicio,MAX($D166,O$3),_xlpm.fin,MIN($E166,O$4),_xlpm.feriados,IF($H166="CO",FER_CO,FER_EC),_xlpm.dias,IF(_xlpm.inicio&gt;_xlpm.fin,0,NETWORKDAYS(_xlpm.inicio,_xlpm.fin,_xlpm.feriados)),_xlpm.factor,IF($G166="Probable",IF(Parametros!$B$6="Sí",1,0),1),IF(OR($A166="",$D166="",$E166=""),0,_xlpm.dias*$I166*_xlpm.factor))</f>
        <v/>
      </c>
      <c r="P166" s="34">
        <f>_xlfn.LET(_xlpm.horas,J166,_xlpm.feriados,IF($H166="CO",FER_CO,FER_EC),_xlpm.capacidad,NETWORKDAYS(J$3,J$4,_xlpm.feriados)*INDEX(Consultores!$C$6:$C$65,MATCH($A166,Consultores!$A$6:$A$65,0)),IF(_xlpm.horas=0,"",IFERROR(_xlpm.horas/_xlpm.capacidad,"")))</f>
        <v/>
      </c>
      <c r="Q166" s="34">
        <f>_xlfn.LET(_xlpm.horas,K166,_xlpm.feriados,IF($H166="CO",FER_CO,FER_EC),_xlpm.capacidad,NETWORKDAYS(K$3,K$4,_xlpm.feriados)*INDEX(Consultores!$C$6:$C$65,MATCH($A166,Consultores!$A$6:$A$65,0)),IF(_xlpm.horas=0,"",IFERROR(_xlpm.horas/_xlpm.capacidad,"")))</f>
        <v/>
      </c>
      <c r="R166" s="34">
        <f>_xlfn.LET(_xlpm.horas,L166,_xlpm.feriados,IF($H166="CO",FER_CO,FER_EC),_xlpm.capacidad,NETWORKDAYS(L$3,L$4,_xlpm.feriados)*INDEX(Consultores!$C$6:$C$65,MATCH($A166,Consultores!$A$6:$A$65,0)),IF(_xlpm.horas=0,"",IFERROR(_xlpm.horas/_xlpm.capacidad,"")))</f>
        <v/>
      </c>
      <c r="S166" s="34">
        <f>_xlfn.LET(_xlpm.horas,M166,_xlpm.feriados,IF($H166="CO",FER_CO,FER_EC),_xlpm.capacidad,NETWORKDAYS(M$3,M$4,_xlpm.feriados)*INDEX(Consultores!$C$6:$C$65,MATCH($A166,Consultores!$A$6:$A$65,0)),IF(_xlpm.horas=0,"",IFERROR(_xlpm.horas/_xlpm.capacidad,"")))</f>
        <v/>
      </c>
      <c r="T166" s="34">
        <f>_xlfn.LET(_xlpm.horas,N166,_xlpm.feriados,IF($H166="CO",FER_CO,FER_EC),_xlpm.capacidad,NETWORKDAYS(N$3,N$4,_xlpm.feriados)*INDEX(Consultores!$C$6:$C$65,MATCH($A166,Consultores!$A$6:$A$65,0)),IF(_xlpm.horas=0,"",IFERROR(_xlpm.horas/_xlpm.capacidad,"")))</f>
        <v/>
      </c>
      <c r="U166" s="34">
        <f>_xlfn.LET(_xlpm.horas,O166,_xlpm.feriados,IF($H166="CO",FER_CO,FER_EC),_xlpm.capacidad,NETWORKDAYS(O$3,O$4,_xlpm.feriados)*INDEX(Consultores!$C$6:$C$65,MATCH($A166,Consultores!$A$6:$A$65,0)),IF(_xlpm.horas=0,"",IFERROR(_xlpm.horas/_xlpm.capacidad,"")))</f>
        <v/>
      </c>
    </row>
    <row r="167">
      <c r="A167" s="25" t="n"/>
      <c r="B167" s="25" t="n"/>
      <c r="C167" s="25" t="n"/>
      <c r="D167" s="30" t="n"/>
      <c r="E167" s="30" t="n"/>
      <c r="F167" s="26" t="n"/>
      <c r="G167" s="25" t="n"/>
      <c r="H167" s="31">
        <f>IF($A167="","",IFERROR(INDEX(Consultores!$B$6:$B$65,MATCH($A167,Consultores!$A$6:$A$65,0)),"No existe"))</f>
        <v/>
      </c>
      <c r="I167" s="32">
        <f>IF($F167="",0,$F167/5)</f>
        <v/>
      </c>
      <c r="J167" s="33">
        <f>_xlfn.LET(_xlpm.inicio,MAX($D167,J$3),_xlpm.fin,MIN($E167,J$4),_xlpm.feriados,IF($H167="CO",FER_CO,FER_EC),_xlpm.dias,IF(_xlpm.inicio&gt;_xlpm.fin,0,NETWORKDAYS(_xlpm.inicio,_xlpm.fin,_xlpm.feriados)),_xlpm.factor,IF($G167="Probable",IF(Parametros!$B$6="Sí",1,0),1),IF(OR($A167="",$D167="",$E167=""),0,_xlpm.dias*$I167*_xlpm.factor))</f>
        <v/>
      </c>
      <c r="K167" s="33">
        <f>_xlfn.LET(_xlpm.inicio,MAX($D167,K$3),_xlpm.fin,MIN($E167,K$4),_xlpm.feriados,IF($H167="CO",FER_CO,FER_EC),_xlpm.dias,IF(_xlpm.inicio&gt;_xlpm.fin,0,NETWORKDAYS(_xlpm.inicio,_xlpm.fin,_xlpm.feriados)),_xlpm.factor,IF($G167="Probable",IF(Parametros!$B$6="Sí",1,0),1),IF(OR($A167="",$D167="",$E167=""),0,_xlpm.dias*$I167*_xlpm.factor))</f>
        <v/>
      </c>
      <c r="L167" s="33">
        <f>_xlfn.LET(_xlpm.inicio,MAX($D167,L$3),_xlpm.fin,MIN($E167,L$4),_xlpm.feriados,IF($H167="CO",FER_CO,FER_EC),_xlpm.dias,IF(_xlpm.inicio&gt;_xlpm.fin,0,NETWORKDAYS(_xlpm.inicio,_xlpm.fin,_xlpm.feriados)),_xlpm.factor,IF($G167="Probable",IF(Parametros!$B$6="Sí",1,0),1),IF(OR($A167="",$D167="",$E167=""),0,_xlpm.dias*$I167*_xlpm.factor))</f>
        <v/>
      </c>
      <c r="M167" s="33">
        <f>_xlfn.LET(_xlpm.inicio,MAX($D167,M$3),_xlpm.fin,MIN($E167,M$4),_xlpm.feriados,IF($H167="CO",FER_CO,FER_EC),_xlpm.dias,IF(_xlpm.inicio&gt;_xlpm.fin,0,NETWORKDAYS(_xlpm.inicio,_xlpm.fin,_xlpm.feriados)),_xlpm.factor,IF($G167="Probable",IF(Parametros!$B$6="Sí",1,0),1),IF(OR($A167="",$D167="",$E167=""),0,_xlpm.dias*$I167*_xlpm.factor))</f>
        <v/>
      </c>
      <c r="N167" s="33">
        <f>_xlfn.LET(_xlpm.inicio,MAX($D167,N$3),_xlpm.fin,MIN($E167,N$4),_xlpm.feriados,IF($H167="CO",FER_CO,FER_EC),_xlpm.dias,IF(_xlpm.inicio&gt;_xlpm.fin,0,NETWORKDAYS(_xlpm.inicio,_xlpm.fin,_xlpm.feriados)),_xlpm.factor,IF($G167="Probable",IF(Parametros!$B$6="Sí",1,0),1),IF(OR($A167="",$D167="",$E167=""),0,_xlpm.dias*$I167*_xlpm.factor))</f>
        <v/>
      </c>
      <c r="O167" s="33">
        <f>_xlfn.LET(_xlpm.inicio,MAX($D167,O$3),_xlpm.fin,MIN($E167,O$4),_xlpm.feriados,IF($H167="CO",FER_CO,FER_EC),_xlpm.dias,IF(_xlpm.inicio&gt;_xlpm.fin,0,NETWORKDAYS(_xlpm.inicio,_xlpm.fin,_xlpm.feriados)),_xlpm.factor,IF($G167="Probable",IF(Parametros!$B$6="Sí",1,0),1),IF(OR($A167="",$D167="",$E167=""),0,_xlpm.dias*$I167*_xlpm.factor))</f>
        <v/>
      </c>
      <c r="P167" s="34">
        <f>_xlfn.LET(_xlpm.horas,J167,_xlpm.feriados,IF($H167="CO",FER_CO,FER_EC),_xlpm.capacidad,NETWORKDAYS(J$3,J$4,_xlpm.feriados)*INDEX(Consultores!$C$6:$C$65,MATCH($A167,Consultores!$A$6:$A$65,0)),IF(_xlpm.horas=0,"",IFERROR(_xlpm.horas/_xlpm.capacidad,"")))</f>
        <v/>
      </c>
      <c r="Q167" s="34">
        <f>_xlfn.LET(_xlpm.horas,K167,_xlpm.feriados,IF($H167="CO",FER_CO,FER_EC),_xlpm.capacidad,NETWORKDAYS(K$3,K$4,_xlpm.feriados)*INDEX(Consultores!$C$6:$C$65,MATCH($A167,Consultores!$A$6:$A$65,0)),IF(_xlpm.horas=0,"",IFERROR(_xlpm.horas/_xlpm.capacidad,"")))</f>
        <v/>
      </c>
      <c r="R167" s="34">
        <f>_xlfn.LET(_xlpm.horas,L167,_xlpm.feriados,IF($H167="CO",FER_CO,FER_EC),_xlpm.capacidad,NETWORKDAYS(L$3,L$4,_xlpm.feriados)*INDEX(Consultores!$C$6:$C$65,MATCH($A167,Consultores!$A$6:$A$65,0)),IF(_xlpm.horas=0,"",IFERROR(_xlpm.horas/_xlpm.capacidad,"")))</f>
        <v/>
      </c>
      <c r="S167" s="34">
        <f>_xlfn.LET(_xlpm.horas,M167,_xlpm.feriados,IF($H167="CO",FER_CO,FER_EC),_xlpm.capacidad,NETWORKDAYS(M$3,M$4,_xlpm.feriados)*INDEX(Consultores!$C$6:$C$65,MATCH($A167,Consultores!$A$6:$A$65,0)),IF(_xlpm.horas=0,"",IFERROR(_xlpm.horas/_xlpm.capacidad,"")))</f>
        <v/>
      </c>
      <c r="T167" s="34">
        <f>_xlfn.LET(_xlpm.horas,N167,_xlpm.feriados,IF($H167="CO",FER_CO,FER_EC),_xlpm.capacidad,NETWORKDAYS(N$3,N$4,_xlpm.feriados)*INDEX(Consultores!$C$6:$C$65,MATCH($A167,Consultores!$A$6:$A$65,0)),IF(_xlpm.horas=0,"",IFERROR(_xlpm.horas/_xlpm.capacidad,"")))</f>
        <v/>
      </c>
      <c r="U167" s="34">
        <f>_xlfn.LET(_xlpm.horas,O167,_xlpm.feriados,IF($H167="CO",FER_CO,FER_EC),_xlpm.capacidad,NETWORKDAYS(O$3,O$4,_xlpm.feriados)*INDEX(Consultores!$C$6:$C$65,MATCH($A167,Consultores!$A$6:$A$65,0)),IF(_xlpm.horas=0,"",IFERROR(_xlpm.horas/_xlpm.capacidad,"")))</f>
        <v/>
      </c>
    </row>
    <row r="168">
      <c r="A168" s="25" t="n"/>
      <c r="B168" s="25" t="n"/>
      <c r="C168" s="25" t="n"/>
      <c r="D168" s="30" t="n"/>
      <c r="E168" s="30" t="n"/>
      <c r="F168" s="26" t="n"/>
      <c r="G168" s="25" t="n"/>
      <c r="H168" s="31">
        <f>IF($A168="","",IFERROR(INDEX(Consultores!$B$6:$B$65,MATCH($A168,Consultores!$A$6:$A$65,0)),"No existe"))</f>
        <v/>
      </c>
      <c r="I168" s="32">
        <f>IF($F168="",0,$F168/5)</f>
        <v/>
      </c>
      <c r="J168" s="33">
        <f>_xlfn.LET(_xlpm.inicio,MAX($D168,J$3),_xlpm.fin,MIN($E168,J$4),_xlpm.feriados,IF($H168="CO",FER_CO,FER_EC),_xlpm.dias,IF(_xlpm.inicio&gt;_xlpm.fin,0,NETWORKDAYS(_xlpm.inicio,_xlpm.fin,_xlpm.feriados)),_xlpm.factor,IF($G168="Probable",IF(Parametros!$B$6="Sí",1,0),1),IF(OR($A168="",$D168="",$E168=""),0,_xlpm.dias*$I168*_xlpm.factor))</f>
        <v/>
      </c>
      <c r="K168" s="33">
        <f>_xlfn.LET(_xlpm.inicio,MAX($D168,K$3),_xlpm.fin,MIN($E168,K$4),_xlpm.feriados,IF($H168="CO",FER_CO,FER_EC),_xlpm.dias,IF(_xlpm.inicio&gt;_xlpm.fin,0,NETWORKDAYS(_xlpm.inicio,_xlpm.fin,_xlpm.feriados)),_xlpm.factor,IF($G168="Probable",IF(Parametros!$B$6="Sí",1,0),1),IF(OR($A168="",$D168="",$E168=""),0,_xlpm.dias*$I168*_xlpm.factor))</f>
        <v/>
      </c>
      <c r="L168" s="33">
        <f>_xlfn.LET(_xlpm.inicio,MAX($D168,L$3),_xlpm.fin,MIN($E168,L$4),_xlpm.feriados,IF($H168="CO",FER_CO,FER_EC),_xlpm.dias,IF(_xlpm.inicio&gt;_xlpm.fin,0,NETWORKDAYS(_xlpm.inicio,_xlpm.fin,_xlpm.feriados)),_xlpm.factor,IF($G168="Probable",IF(Parametros!$B$6="Sí",1,0),1),IF(OR($A168="",$D168="",$E168=""),0,_xlpm.dias*$I168*_xlpm.factor))</f>
        <v/>
      </c>
      <c r="M168" s="33">
        <f>_xlfn.LET(_xlpm.inicio,MAX($D168,M$3),_xlpm.fin,MIN($E168,M$4),_xlpm.feriados,IF($H168="CO",FER_CO,FER_EC),_xlpm.dias,IF(_xlpm.inicio&gt;_xlpm.fin,0,NETWORKDAYS(_xlpm.inicio,_xlpm.fin,_xlpm.feriados)),_xlpm.factor,IF($G168="Probable",IF(Parametros!$B$6="Sí",1,0),1),IF(OR($A168="",$D168="",$E168=""),0,_xlpm.dias*$I168*_xlpm.factor))</f>
        <v/>
      </c>
      <c r="N168" s="33">
        <f>_xlfn.LET(_xlpm.inicio,MAX($D168,N$3),_xlpm.fin,MIN($E168,N$4),_xlpm.feriados,IF($H168="CO",FER_CO,FER_EC),_xlpm.dias,IF(_xlpm.inicio&gt;_xlpm.fin,0,NETWORKDAYS(_xlpm.inicio,_xlpm.fin,_xlpm.feriados)),_xlpm.factor,IF($G168="Probable",IF(Parametros!$B$6="Sí",1,0),1),IF(OR($A168="",$D168="",$E168=""),0,_xlpm.dias*$I168*_xlpm.factor))</f>
        <v/>
      </c>
      <c r="O168" s="33">
        <f>_xlfn.LET(_xlpm.inicio,MAX($D168,O$3),_xlpm.fin,MIN($E168,O$4),_xlpm.feriados,IF($H168="CO",FER_CO,FER_EC),_xlpm.dias,IF(_xlpm.inicio&gt;_xlpm.fin,0,NETWORKDAYS(_xlpm.inicio,_xlpm.fin,_xlpm.feriados)),_xlpm.factor,IF($G168="Probable",IF(Parametros!$B$6="Sí",1,0),1),IF(OR($A168="",$D168="",$E168=""),0,_xlpm.dias*$I168*_xlpm.factor))</f>
        <v/>
      </c>
      <c r="P168" s="34">
        <f>_xlfn.LET(_xlpm.horas,J168,_xlpm.feriados,IF($H168="CO",FER_CO,FER_EC),_xlpm.capacidad,NETWORKDAYS(J$3,J$4,_xlpm.feriados)*INDEX(Consultores!$C$6:$C$65,MATCH($A168,Consultores!$A$6:$A$65,0)),IF(_xlpm.horas=0,"",IFERROR(_xlpm.horas/_xlpm.capacidad,"")))</f>
        <v/>
      </c>
      <c r="Q168" s="34">
        <f>_xlfn.LET(_xlpm.horas,K168,_xlpm.feriados,IF($H168="CO",FER_CO,FER_EC),_xlpm.capacidad,NETWORKDAYS(K$3,K$4,_xlpm.feriados)*INDEX(Consultores!$C$6:$C$65,MATCH($A168,Consultores!$A$6:$A$65,0)),IF(_xlpm.horas=0,"",IFERROR(_xlpm.horas/_xlpm.capacidad,"")))</f>
        <v/>
      </c>
      <c r="R168" s="34">
        <f>_xlfn.LET(_xlpm.horas,L168,_xlpm.feriados,IF($H168="CO",FER_CO,FER_EC),_xlpm.capacidad,NETWORKDAYS(L$3,L$4,_xlpm.feriados)*INDEX(Consultores!$C$6:$C$65,MATCH($A168,Consultores!$A$6:$A$65,0)),IF(_xlpm.horas=0,"",IFERROR(_xlpm.horas/_xlpm.capacidad,"")))</f>
        <v/>
      </c>
      <c r="S168" s="34">
        <f>_xlfn.LET(_xlpm.horas,M168,_xlpm.feriados,IF($H168="CO",FER_CO,FER_EC),_xlpm.capacidad,NETWORKDAYS(M$3,M$4,_xlpm.feriados)*INDEX(Consultores!$C$6:$C$65,MATCH($A168,Consultores!$A$6:$A$65,0)),IF(_xlpm.horas=0,"",IFERROR(_xlpm.horas/_xlpm.capacidad,"")))</f>
        <v/>
      </c>
      <c r="T168" s="34">
        <f>_xlfn.LET(_xlpm.horas,N168,_xlpm.feriados,IF($H168="CO",FER_CO,FER_EC),_xlpm.capacidad,NETWORKDAYS(N$3,N$4,_xlpm.feriados)*INDEX(Consultores!$C$6:$C$65,MATCH($A168,Consultores!$A$6:$A$65,0)),IF(_xlpm.horas=0,"",IFERROR(_xlpm.horas/_xlpm.capacidad,"")))</f>
        <v/>
      </c>
      <c r="U168" s="34">
        <f>_xlfn.LET(_xlpm.horas,O168,_xlpm.feriados,IF($H168="CO",FER_CO,FER_EC),_xlpm.capacidad,NETWORKDAYS(O$3,O$4,_xlpm.feriados)*INDEX(Consultores!$C$6:$C$65,MATCH($A168,Consultores!$A$6:$A$65,0)),IF(_xlpm.horas=0,"",IFERROR(_xlpm.horas/_xlpm.capacidad,"")))</f>
        <v/>
      </c>
    </row>
    <row r="169">
      <c r="A169" s="25" t="n"/>
      <c r="B169" s="25" t="n"/>
      <c r="C169" s="25" t="n"/>
      <c r="D169" s="30" t="n"/>
      <c r="E169" s="30" t="n"/>
      <c r="F169" s="26" t="n"/>
      <c r="G169" s="25" t="n"/>
      <c r="H169" s="31">
        <f>IF($A169="","",IFERROR(INDEX(Consultores!$B$6:$B$65,MATCH($A169,Consultores!$A$6:$A$65,0)),"No existe"))</f>
        <v/>
      </c>
      <c r="I169" s="32">
        <f>IF($F169="",0,$F169/5)</f>
        <v/>
      </c>
      <c r="J169" s="33">
        <f>_xlfn.LET(_xlpm.inicio,MAX($D169,J$3),_xlpm.fin,MIN($E169,J$4),_xlpm.feriados,IF($H169="CO",FER_CO,FER_EC),_xlpm.dias,IF(_xlpm.inicio&gt;_xlpm.fin,0,NETWORKDAYS(_xlpm.inicio,_xlpm.fin,_xlpm.feriados)),_xlpm.factor,IF($G169="Probable",IF(Parametros!$B$6="Sí",1,0),1),IF(OR($A169="",$D169="",$E169=""),0,_xlpm.dias*$I169*_xlpm.factor))</f>
        <v/>
      </c>
      <c r="K169" s="33">
        <f>_xlfn.LET(_xlpm.inicio,MAX($D169,K$3),_xlpm.fin,MIN($E169,K$4),_xlpm.feriados,IF($H169="CO",FER_CO,FER_EC),_xlpm.dias,IF(_xlpm.inicio&gt;_xlpm.fin,0,NETWORKDAYS(_xlpm.inicio,_xlpm.fin,_xlpm.feriados)),_xlpm.factor,IF($G169="Probable",IF(Parametros!$B$6="Sí",1,0),1),IF(OR($A169="",$D169="",$E169=""),0,_xlpm.dias*$I169*_xlpm.factor))</f>
        <v/>
      </c>
      <c r="L169" s="33">
        <f>_xlfn.LET(_xlpm.inicio,MAX($D169,L$3),_xlpm.fin,MIN($E169,L$4),_xlpm.feriados,IF($H169="CO",FER_CO,FER_EC),_xlpm.dias,IF(_xlpm.inicio&gt;_xlpm.fin,0,NETWORKDAYS(_xlpm.inicio,_xlpm.fin,_xlpm.feriados)),_xlpm.factor,IF($G169="Probable",IF(Parametros!$B$6="Sí",1,0),1),IF(OR($A169="",$D169="",$E169=""),0,_xlpm.dias*$I169*_xlpm.factor))</f>
        <v/>
      </c>
      <c r="M169" s="33">
        <f>_xlfn.LET(_xlpm.inicio,MAX($D169,M$3),_xlpm.fin,MIN($E169,M$4),_xlpm.feriados,IF($H169="CO",FER_CO,FER_EC),_xlpm.dias,IF(_xlpm.inicio&gt;_xlpm.fin,0,NETWORKDAYS(_xlpm.inicio,_xlpm.fin,_xlpm.feriados)),_xlpm.factor,IF($G169="Probable",IF(Parametros!$B$6="Sí",1,0),1),IF(OR($A169="",$D169="",$E169=""),0,_xlpm.dias*$I169*_xlpm.factor))</f>
        <v/>
      </c>
      <c r="N169" s="33">
        <f>_xlfn.LET(_xlpm.inicio,MAX($D169,N$3),_xlpm.fin,MIN($E169,N$4),_xlpm.feriados,IF($H169="CO",FER_CO,FER_EC),_xlpm.dias,IF(_xlpm.inicio&gt;_xlpm.fin,0,NETWORKDAYS(_xlpm.inicio,_xlpm.fin,_xlpm.feriados)),_xlpm.factor,IF($G169="Probable",IF(Parametros!$B$6="Sí",1,0),1),IF(OR($A169="",$D169="",$E169=""),0,_xlpm.dias*$I169*_xlpm.factor))</f>
        <v/>
      </c>
      <c r="O169" s="33">
        <f>_xlfn.LET(_xlpm.inicio,MAX($D169,O$3),_xlpm.fin,MIN($E169,O$4),_xlpm.feriados,IF($H169="CO",FER_CO,FER_EC),_xlpm.dias,IF(_xlpm.inicio&gt;_xlpm.fin,0,NETWORKDAYS(_xlpm.inicio,_xlpm.fin,_xlpm.feriados)),_xlpm.factor,IF($G169="Probable",IF(Parametros!$B$6="Sí",1,0),1),IF(OR($A169="",$D169="",$E169=""),0,_xlpm.dias*$I169*_xlpm.factor))</f>
        <v/>
      </c>
      <c r="P169" s="34">
        <f>_xlfn.LET(_xlpm.horas,J169,_xlpm.feriados,IF($H169="CO",FER_CO,FER_EC),_xlpm.capacidad,NETWORKDAYS(J$3,J$4,_xlpm.feriados)*INDEX(Consultores!$C$6:$C$65,MATCH($A169,Consultores!$A$6:$A$65,0)),IF(_xlpm.horas=0,"",IFERROR(_xlpm.horas/_xlpm.capacidad,"")))</f>
        <v/>
      </c>
      <c r="Q169" s="34">
        <f>_xlfn.LET(_xlpm.horas,K169,_xlpm.feriados,IF($H169="CO",FER_CO,FER_EC),_xlpm.capacidad,NETWORKDAYS(K$3,K$4,_xlpm.feriados)*INDEX(Consultores!$C$6:$C$65,MATCH($A169,Consultores!$A$6:$A$65,0)),IF(_xlpm.horas=0,"",IFERROR(_xlpm.horas/_xlpm.capacidad,"")))</f>
        <v/>
      </c>
      <c r="R169" s="34">
        <f>_xlfn.LET(_xlpm.horas,L169,_xlpm.feriados,IF($H169="CO",FER_CO,FER_EC),_xlpm.capacidad,NETWORKDAYS(L$3,L$4,_xlpm.feriados)*INDEX(Consultores!$C$6:$C$65,MATCH($A169,Consultores!$A$6:$A$65,0)),IF(_xlpm.horas=0,"",IFERROR(_xlpm.horas/_xlpm.capacidad,"")))</f>
        <v/>
      </c>
      <c r="S169" s="34">
        <f>_xlfn.LET(_xlpm.horas,M169,_xlpm.feriados,IF($H169="CO",FER_CO,FER_EC),_xlpm.capacidad,NETWORKDAYS(M$3,M$4,_xlpm.feriados)*INDEX(Consultores!$C$6:$C$65,MATCH($A169,Consultores!$A$6:$A$65,0)),IF(_xlpm.horas=0,"",IFERROR(_xlpm.horas/_xlpm.capacidad,"")))</f>
        <v/>
      </c>
      <c r="T169" s="34">
        <f>_xlfn.LET(_xlpm.horas,N169,_xlpm.feriados,IF($H169="CO",FER_CO,FER_EC),_xlpm.capacidad,NETWORKDAYS(N$3,N$4,_xlpm.feriados)*INDEX(Consultores!$C$6:$C$65,MATCH($A169,Consultores!$A$6:$A$65,0)),IF(_xlpm.horas=0,"",IFERROR(_xlpm.horas/_xlpm.capacidad,"")))</f>
        <v/>
      </c>
      <c r="U169" s="34">
        <f>_xlfn.LET(_xlpm.horas,O169,_xlpm.feriados,IF($H169="CO",FER_CO,FER_EC),_xlpm.capacidad,NETWORKDAYS(O$3,O$4,_xlpm.feriados)*INDEX(Consultores!$C$6:$C$65,MATCH($A169,Consultores!$A$6:$A$65,0)),IF(_xlpm.horas=0,"",IFERROR(_xlpm.horas/_xlpm.capacidad,"")))</f>
        <v/>
      </c>
    </row>
    <row r="170">
      <c r="A170" s="25" t="n"/>
      <c r="B170" s="25" t="n"/>
      <c r="C170" s="25" t="n"/>
      <c r="D170" s="30" t="n"/>
      <c r="E170" s="30" t="n"/>
      <c r="F170" s="26" t="n"/>
      <c r="G170" s="25" t="n"/>
      <c r="H170" s="31">
        <f>IF($A170="","",IFERROR(INDEX(Consultores!$B$6:$B$65,MATCH($A170,Consultores!$A$6:$A$65,0)),"No existe"))</f>
        <v/>
      </c>
      <c r="I170" s="32">
        <f>IF($F170="",0,$F170/5)</f>
        <v/>
      </c>
      <c r="J170" s="33">
        <f>_xlfn.LET(_xlpm.inicio,MAX($D170,J$3),_xlpm.fin,MIN($E170,J$4),_xlpm.feriados,IF($H170="CO",FER_CO,FER_EC),_xlpm.dias,IF(_xlpm.inicio&gt;_xlpm.fin,0,NETWORKDAYS(_xlpm.inicio,_xlpm.fin,_xlpm.feriados)),_xlpm.factor,IF($G170="Probable",IF(Parametros!$B$6="Sí",1,0),1),IF(OR($A170="",$D170="",$E170=""),0,_xlpm.dias*$I170*_xlpm.factor))</f>
        <v/>
      </c>
      <c r="K170" s="33">
        <f>_xlfn.LET(_xlpm.inicio,MAX($D170,K$3),_xlpm.fin,MIN($E170,K$4),_xlpm.feriados,IF($H170="CO",FER_CO,FER_EC),_xlpm.dias,IF(_xlpm.inicio&gt;_xlpm.fin,0,NETWORKDAYS(_xlpm.inicio,_xlpm.fin,_xlpm.feriados)),_xlpm.factor,IF($G170="Probable",IF(Parametros!$B$6="Sí",1,0),1),IF(OR($A170="",$D170="",$E170=""),0,_xlpm.dias*$I170*_xlpm.factor))</f>
        <v/>
      </c>
      <c r="L170" s="33">
        <f>_xlfn.LET(_xlpm.inicio,MAX($D170,L$3),_xlpm.fin,MIN($E170,L$4),_xlpm.feriados,IF($H170="CO",FER_CO,FER_EC),_xlpm.dias,IF(_xlpm.inicio&gt;_xlpm.fin,0,NETWORKDAYS(_xlpm.inicio,_xlpm.fin,_xlpm.feriados)),_xlpm.factor,IF($G170="Probable",IF(Parametros!$B$6="Sí",1,0),1),IF(OR($A170="",$D170="",$E170=""),0,_xlpm.dias*$I170*_xlpm.factor))</f>
        <v/>
      </c>
      <c r="M170" s="33">
        <f>_xlfn.LET(_xlpm.inicio,MAX($D170,M$3),_xlpm.fin,MIN($E170,M$4),_xlpm.feriados,IF($H170="CO",FER_CO,FER_EC),_xlpm.dias,IF(_xlpm.inicio&gt;_xlpm.fin,0,NETWORKDAYS(_xlpm.inicio,_xlpm.fin,_xlpm.feriados)),_xlpm.factor,IF($G170="Probable",IF(Parametros!$B$6="Sí",1,0),1),IF(OR($A170="",$D170="",$E170=""),0,_xlpm.dias*$I170*_xlpm.factor))</f>
        <v/>
      </c>
      <c r="N170" s="33">
        <f>_xlfn.LET(_xlpm.inicio,MAX($D170,N$3),_xlpm.fin,MIN($E170,N$4),_xlpm.feriados,IF($H170="CO",FER_CO,FER_EC),_xlpm.dias,IF(_xlpm.inicio&gt;_xlpm.fin,0,NETWORKDAYS(_xlpm.inicio,_xlpm.fin,_xlpm.feriados)),_xlpm.factor,IF($G170="Probable",IF(Parametros!$B$6="Sí",1,0),1),IF(OR($A170="",$D170="",$E170=""),0,_xlpm.dias*$I170*_xlpm.factor))</f>
        <v/>
      </c>
      <c r="O170" s="33">
        <f>_xlfn.LET(_xlpm.inicio,MAX($D170,O$3),_xlpm.fin,MIN($E170,O$4),_xlpm.feriados,IF($H170="CO",FER_CO,FER_EC),_xlpm.dias,IF(_xlpm.inicio&gt;_xlpm.fin,0,NETWORKDAYS(_xlpm.inicio,_xlpm.fin,_xlpm.feriados)),_xlpm.factor,IF($G170="Probable",IF(Parametros!$B$6="Sí",1,0),1),IF(OR($A170="",$D170="",$E170=""),0,_xlpm.dias*$I170*_xlpm.factor))</f>
        <v/>
      </c>
      <c r="P170" s="34">
        <f>_xlfn.LET(_xlpm.horas,J170,_xlpm.feriados,IF($H170="CO",FER_CO,FER_EC),_xlpm.capacidad,NETWORKDAYS(J$3,J$4,_xlpm.feriados)*INDEX(Consultores!$C$6:$C$65,MATCH($A170,Consultores!$A$6:$A$65,0)),IF(_xlpm.horas=0,"",IFERROR(_xlpm.horas/_xlpm.capacidad,"")))</f>
        <v/>
      </c>
      <c r="Q170" s="34">
        <f>_xlfn.LET(_xlpm.horas,K170,_xlpm.feriados,IF($H170="CO",FER_CO,FER_EC),_xlpm.capacidad,NETWORKDAYS(K$3,K$4,_xlpm.feriados)*INDEX(Consultores!$C$6:$C$65,MATCH($A170,Consultores!$A$6:$A$65,0)),IF(_xlpm.horas=0,"",IFERROR(_xlpm.horas/_xlpm.capacidad,"")))</f>
        <v/>
      </c>
      <c r="R170" s="34">
        <f>_xlfn.LET(_xlpm.horas,L170,_xlpm.feriados,IF($H170="CO",FER_CO,FER_EC),_xlpm.capacidad,NETWORKDAYS(L$3,L$4,_xlpm.feriados)*INDEX(Consultores!$C$6:$C$65,MATCH($A170,Consultores!$A$6:$A$65,0)),IF(_xlpm.horas=0,"",IFERROR(_xlpm.horas/_xlpm.capacidad,"")))</f>
        <v/>
      </c>
      <c r="S170" s="34">
        <f>_xlfn.LET(_xlpm.horas,M170,_xlpm.feriados,IF($H170="CO",FER_CO,FER_EC),_xlpm.capacidad,NETWORKDAYS(M$3,M$4,_xlpm.feriados)*INDEX(Consultores!$C$6:$C$65,MATCH($A170,Consultores!$A$6:$A$65,0)),IF(_xlpm.horas=0,"",IFERROR(_xlpm.horas/_xlpm.capacidad,"")))</f>
        <v/>
      </c>
      <c r="T170" s="34">
        <f>_xlfn.LET(_xlpm.horas,N170,_xlpm.feriados,IF($H170="CO",FER_CO,FER_EC),_xlpm.capacidad,NETWORKDAYS(N$3,N$4,_xlpm.feriados)*INDEX(Consultores!$C$6:$C$65,MATCH($A170,Consultores!$A$6:$A$65,0)),IF(_xlpm.horas=0,"",IFERROR(_xlpm.horas/_xlpm.capacidad,"")))</f>
        <v/>
      </c>
      <c r="U170" s="34">
        <f>_xlfn.LET(_xlpm.horas,O170,_xlpm.feriados,IF($H170="CO",FER_CO,FER_EC),_xlpm.capacidad,NETWORKDAYS(O$3,O$4,_xlpm.feriados)*INDEX(Consultores!$C$6:$C$65,MATCH($A170,Consultores!$A$6:$A$65,0)),IF(_xlpm.horas=0,"",IFERROR(_xlpm.horas/_xlpm.capacidad,"")))</f>
        <v/>
      </c>
    </row>
    <row r="171">
      <c r="A171" s="25" t="n"/>
      <c r="B171" s="25" t="n"/>
      <c r="C171" s="25" t="n"/>
      <c r="D171" s="30" t="n"/>
      <c r="E171" s="30" t="n"/>
      <c r="F171" s="26" t="n"/>
      <c r="G171" s="25" t="n"/>
      <c r="H171" s="31">
        <f>IF($A171="","",IFERROR(INDEX(Consultores!$B$6:$B$65,MATCH($A171,Consultores!$A$6:$A$65,0)),"No existe"))</f>
        <v/>
      </c>
      <c r="I171" s="32">
        <f>IF($F171="",0,$F171/5)</f>
        <v/>
      </c>
      <c r="J171" s="33">
        <f>_xlfn.LET(_xlpm.inicio,MAX($D171,J$3),_xlpm.fin,MIN($E171,J$4),_xlpm.feriados,IF($H171="CO",FER_CO,FER_EC),_xlpm.dias,IF(_xlpm.inicio&gt;_xlpm.fin,0,NETWORKDAYS(_xlpm.inicio,_xlpm.fin,_xlpm.feriados)),_xlpm.factor,IF($G171="Probable",IF(Parametros!$B$6="Sí",1,0),1),IF(OR($A171="",$D171="",$E171=""),0,_xlpm.dias*$I171*_xlpm.factor))</f>
        <v/>
      </c>
      <c r="K171" s="33">
        <f>_xlfn.LET(_xlpm.inicio,MAX($D171,K$3),_xlpm.fin,MIN($E171,K$4),_xlpm.feriados,IF($H171="CO",FER_CO,FER_EC),_xlpm.dias,IF(_xlpm.inicio&gt;_xlpm.fin,0,NETWORKDAYS(_xlpm.inicio,_xlpm.fin,_xlpm.feriados)),_xlpm.factor,IF($G171="Probable",IF(Parametros!$B$6="Sí",1,0),1),IF(OR($A171="",$D171="",$E171=""),0,_xlpm.dias*$I171*_xlpm.factor))</f>
        <v/>
      </c>
      <c r="L171" s="33">
        <f>_xlfn.LET(_xlpm.inicio,MAX($D171,L$3),_xlpm.fin,MIN($E171,L$4),_xlpm.feriados,IF($H171="CO",FER_CO,FER_EC),_xlpm.dias,IF(_xlpm.inicio&gt;_xlpm.fin,0,NETWORKDAYS(_xlpm.inicio,_xlpm.fin,_xlpm.feriados)),_xlpm.factor,IF($G171="Probable",IF(Parametros!$B$6="Sí",1,0),1),IF(OR($A171="",$D171="",$E171=""),0,_xlpm.dias*$I171*_xlpm.factor))</f>
        <v/>
      </c>
      <c r="M171" s="33">
        <f>_xlfn.LET(_xlpm.inicio,MAX($D171,M$3),_xlpm.fin,MIN($E171,M$4),_xlpm.feriados,IF($H171="CO",FER_CO,FER_EC),_xlpm.dias,IF(_xlpm.inicio&gt;_xlpm.fin,0,NETWORKDAYS(_xlpm.inicio,_xlpm.fin,_xlpm.feriados)),_xlpm.factor,IF($G171="Probable",IF(Parametros!$B$6="Sí",1,0),1),IF(OR($A171="",$D171="",$E171=""),0,_xlpm.dias*$I171*_xlpm.factor))</f>
        <v/>
      </c>
      <c r="N171" s="33">
        <f>_xlfn.LET(_xlpm.inicio,MAX($D171,N$3),_xlpm.fin,MIN($E171,N$4),_xlpm.feriados,IF($H171="CO",FER_CO,FER_EC),_xlpm.dias,IF(_xlpm.inicio&gt;_xlpm.fin,0,NETWORKDAYS(_xlpm.inicio,_xlpm.fin,_xlpm.feriados)),_xlpm.factor,IF($G171="Probable",IF(Parametros!$B$6="Sí",1,0),1),IF(OR($A171="",$D171="",$E171=""),0,_xlpm.dias*$I171*_xlpm.factor))</f>
        <v/>
      </c>
      <c r="O171" s="33">
        <f>_xlfn.LET(_xlpm.inicio,MAX($D171,O$3),_xlpm.fin,MIN($E171,O$4),_xlpm.feriados,IF($H171="CO",FER_CO,FER_EC),_xlpm.dias,IF(_xlpm.inicio&gt;_xlpm.fin,0,NETWORKDAYS(_xlpm.inicio,_xlpm.fin,_xlpm.feriados)),_xlpm.factor,IF($G171="Probable",IF(Parametros!$B$6="Sí",1,0),1),IF(OR($A171="",$D171="",$E171=""),0,_xlpm.dias*$I171*_xlpm.factor))</f>
        <v/>
      </c>
      <c r="P171" s="34">
        <f>_xlfn.LET(_xlpm.horas,J171,_xlpm.feriados,IF($H171="CO",FER_CO,FER_EC),_xlpm.capacidad,NETWORKDAYS(J$3,J$4,_xlpm.feriados)*INDEX(Consultores!$C$6:$C$65,MATCH($A171,Consultores!$A$6:$A$65,0)),IF(_xlpm.horas=0,"",IFERROR(_xlpm.horas/_xlpm.capacidad,"")))</f>
        <v/>
      </c>
      <c r="Q171" s="34">
        <f>_xlfn.LET(_xlpm.horas,K171,_xlpm.feriados,IF($H171="CO",FER_CO,FER_EC),_xlpm.capacidad,NETWORKDAYS(K$3,K$4,_xlpm.feriados)*INDEX(Consultores!$C$6:$C$65,MATCH($A171,Consultores!$A$6:$A$65,0)),IF(_xlpm.horas=0,"",IFERROR(_xlpm.horas/_xlpm.capacidad,"")))</f>
        <v/>
      </c>
      <c r="R171" s="34">
        <f>_xlfn.LET(_xlpm.horas,L171,_xlpm.feriados,IF($H171="CO",FER_CO,FER_EC),_xlpm.capacidad,NETWORKDAYS(L$3,L$4,_xlpm.feriados)*INDEX(Consultores!$C$6:$C$65,MATCH($A171,Consultores!$A$6:$A$65,0)),IF(_xlpm.horas=0,"",IFERROR(_xlpm.horas/_xlpm.capacidad,"")))</f>
        <v/>
      </c>
      <c r="S171" s="34">
        <f>_xlfn.LET(_xlpm.horas,M171,_xlpm.feriados,IF($H171="CO",FER_CO,FER_EC),_xlpm.capacidad,NETWORKDAYS(M$3,M$4,_xlpm.feriados)*INDEX(Consultores!$C$6:$C$65,MATCH($A171,Consultores!$A$6:$A$65,0)),IF(_xlpm.horas=0,"",IFERROR(_xlpm.horas/_xlpm.capacidad,"")))</f>
        <v/>
      </c>
      <c r="T171" s="34">
        <f>_xlfn.LET(_xlpm.horas,N171,_xlpm.feriados,IF($H171="CO",FER_CO,FER_EC),_xlpm.capacidad,NETWORKDAYS(N$3,N$4,_xlpm.feriados)*INDEX(Consultores!$C$6:$C$65,MATCH($A171,Consultores!$A$6:$A$65,0)),IF(_xlpm.horas=0,"",IFERROR(_xlpm.horas/_xlpm.capacidad,"")))</f>
        <v/>
      </c>
      <c r="U171" s="34">
        <f>_xlfn.LET(_xlpm.horas,O171,_xlpm.feriados,IF($H171="CO",FER_CO,FER_EC),_xlpm.capacidad,NETWORKDAYS(O$3,O$4,_xlpm.feriados)*INDEX(Consultores!$C$6:$C$65,MATCH($A171,Consultores!$A$6:$A$65,0)),IF(_xlpm.horas=0,"",IFERROR(_xlpm.horas/_xlpm.capacidad,"")))</f>
        <v/>
      </c>
    </row>
    <row r="172">
      <c r="A172" s="25" t="n"/>
      <c r="B172" s="25" t="n"/>
      <c r="C172" s="25" t="n"/>
      <c r="D172" s="30" t="n"/>
      <c r="E172" s="30" t="n"/>
      <c r="F172" s="26" t="n"/>
      <c r="G172" s="25" t="n"/>
      <c r="H172" s="31">
        <f>IF($A172="","",IFERROR(INDEX(Consultores!$B$6:$B$65,MATCH($A172,Consultores!$A$6:$A$65,0)),"No existe"))</f>
        <v/>
      </c>
      <c r="I172" s="32">
        <f>IF($F172="",0,$F172/5)</f>
        <v/>
      </c>
      <c r="J172" s="33">
        <f>_xlfn.LET(_xlpm.inicio,MAX($D172,J$3),_xlpm.fin,MIN($E172,J$4),_xlpm.feriados,IF($H172="CO",FER_CO,FER_EC),_xlpm.dias,IF(_xlpm.inicio&gt;_xlpm.fin,0,NETWORKDAYS(_xlpm.inicio,_xlpm.fin,_xlpm.feriados)),_xlpm.factor,IF($G172="Probable",IF(Parametros!$B$6="Sí",1,0),1),IF(OR($A172="",$D172="",$E172=""),0,_xlpm.dias*$I172*_xlpm.factor))</f>
        <v/>
      </c>
      <c r="K172" s="33">
        <f>_xlfn.LET(_xlpm.inicio,MAX($D172,K$3),_xlpm.fin,MIN($E172,K$4),_xlpm.feriados,IF($H172="CO",FER_CO,FER_EC),_xlpm.dias,IF(_xlpm.inicio&gt;_xlpm.fin,0,NETWORKDAYS(_xlpm.inicio,_xlpm.fin,_xlpm.feriados)),_xlpm.factor,IF($G172="Probable",IF(Parametros!$B$6="Sí",1,0),1),IF(OR($A172="",$D172="",$E172=""),0,_xlpm.dias*$I172*_xlpm.factor))</f>
        <v/>
      </c>
      <c r="L172" s="33">
        <f>_xlfn.LET(_xlpm.inicio,MAX($D172,L$3),_xlpm.fin,MIN($E172,L$4),_xlpm.feriados,IF($H172="CO",FER_CO,FER_EC),_xlpm.dias,IF(_xlpm.inicio&gt;_xlpm.fin,0,NETWORKDAYS(_xlpm.inicio,_xlpm.fin,_xlpm.feriados)),_xlpm.factor,IF($G172="Probable",IF(Parametros!$B$6="Sí",1,0),1),IF(OR($A172="",$D172="",$E172=""),0,_xlpm.dias*$I172*_xlpm.factor))</f>
        <v/>
      </c>
      <c r="M172" s="33">
        <f>_xlfn.LET(_xlpm.inicio,MAX($D172,M$3),_xlpm.fin,MIN($E172,M$4),_xlpm.feriados,IF($H172="CO",FER_CO,FER_EC),_xlpm.dias,IF(_xlpm.inicio&gt;_xlpm.fin,0,NETWORKDAYS(_xlpm.inicio,_xlpm.fin,_xlpm.feriados)),_xlpm.factor,IF($G172="Probable",IF(Parametros!$B$6="Sí",1,0),1),IF(OR($A172="",$D172="",$E172=""),0,_xlpm.dias*$I172*_xlpm.factor))</f>
        <v/>
      </c>
      <c r="N172" s="33">
        <f>_xlfn.LET(_xlpm.inicio,MAX($D172,N$3),_xlpm.fin,MIN($E172,N$4),_xlpm.feriados,IF($H172="CO",FER_CO,FER_EC),_xlpm.dias,IF(_xlpm.inicio&gt;_xlpm.fin,0,NETWORKDAYS(_xlpm.inicio,_xlpm.fin,_xlpm.feriados)),_xlpm.factor,IF($G172="Probable",IF(Parametros!$B$6="Sí",1,0),1),IF(OR($A172="",$D172="",$E172=""),0,_xlpm.dias*$I172*_xlpm.factor))</f>
        <v/>
      </c>
      <c r="O172" s="33">
        <f>_xlfn.LET(_xlpm.inicio,MAX($D172,O$3),_xlpm.fin,MIN($E172,O$4),_xlpm.feriados,IF($H172="CO",FER_CO,FER_EC),_xlpm.dias,IF(_xlpm.inicio&gt;_xlpm.fin,0,NETWORKDAYS(_xlpm.inicio,_xlpm.fin,_xlpm.feriados)),_xlpm.factor,IF($G172="Probable",IF(Parametros!$B$6="Sí",1,0),1),IF(OR($A172="",$D172="",$E172=""),0,_xlpm.dias*$I172*_xlpm.factor))</f>
        <v/>
      </c>
      <c r="P172" s="34">
        <f>_xlfn.LET(_xlpm.horas,J172,_xlpm.feriados,IF($H172="CO",FER_CO,FER_EC),_xlpm.capacidad,NETWORKDAYS(J$3,J$4,_xlpm.feriados)*INDEX(Consultores!$C$6:$C$65,MATCH($A172,Consultores!$A$6:$A$65,0)),IF(_xlpm.horas=0,"",IFERROR(_xlpm.horas/_xlpm.capacidad,"")))</f>
        <v/>
      </c>
      <c r="Q172" s="34">
        <f>_xlfn.LET(_xlpm.horas,K172,_xlpm.feriados,IF($H172="CO",FER_CO,FER_EC),_xlpm.capacidad,NETWORKDAYS(K$3,K$4,_xlpm.feriados)*INDEX(Consultores!$C$6:$C$65,MATCH($A172,Consultores!$A$6:$A$65,0)),IF(_xlpm.horas=0,"",IFERROR(_xlpm.horas/_xlpm.capacidad,"")))</f>
        <v/>
      </c>
      <c r="R172" s="34">
        <f>_xlfn.LET(_xlpm.horas,L172,_xlpm.feriados,IF($H172="CO",FER_CO,FER_EC),_xlpm.capacidad,NETWORKDAYS(L$3,L$4,_xlpm.feriados)*INDEX(Consultores!$C$6:$C$65,MATCH($A172,Consultores!$A$6:$A$65,0)),IF(_xlpm.horas=0,"",IFERROR(_xlpm.horas/_xlpm.capacidad,"")))</f>
        <v/>
      </c>
      <c r="S172" s="34">
        <f>_xlfn.LET(_xlpm.horas,M172,_xlpm.feriados,IF($H172="CO",FER_CO,FER_EC),_xlpm.capacidad,NETWORKDAYS(M$3,M$4,_xlpm.feriados)*INDEX(Consultores!$C$6:$C$65,MATCH($A172,Consultores!$A$6:$A$65,0)),IF(_xlpm.horas=0,"",IFERROR(_xlpm.horas/_xlpm.capacidad,"")))</f>
        <v/>
      </c>
      <c r="T172" s="34">
        <f>_xlfn.LET(_xlpm.horas,N172,_xlpm.feriados,IF($H172="CO",FER_CO,FER_EC),_xlpm.capacidad,NETWORKDAYS(N$3,N$4,_xlpm.feriados)*INDEX(Consultores!$C$6:$C$65,MATCH($A172,Consultores!$A$6:$A$65,0)),IF(_xlpm.horas=0,"",IFERROR(_xlpm.horas/_xlpm.capacidad,"")))</f>
        <v/>
      </c>
      <c r="U172" s="34">
        <f>_xlfn.LET(_xlpm.horas,O172,_xlpm.feriados,IF($H172="CO",FER_CO,FER_EC),_xlpm.capacidad,NETWORKDAYS(O$3,O$4,_xlpm.feriados)*INDEX(Consultores!$C$6:$C$65,MATCH($A172,Consultores!$A$6:$A$65,0)),IF(_xlpm.horas=0,"",IFERROR(_xlpm.horas/_xlpm.capacidad,"")))</f>
        <v/>
      </c>
    </row>
    <row r="173">
      <c r="A173" s="25" t="n"/>
      <c r="B173" s="25" t="n"/>
      <c r="C173" s="25" t="n"/>
      <c r="D173" s="30" t="n"/>
      <c r="E173" s="30" t="n"/>
      <c r="F173" s="26" t="n"/>
      <c r="G173" s="25" t="n"/>
      <c r="H173" s="31">
        <f>IF($A173="","",IFERROR(INDEX(Consultores!$B$6:$B$65,MATCH($A173,Consultores!$A$6:$A$65,0)),"No existe"))</f>
        <v/>
      </c>
      <c r="I173" s="32">
        <f>IF($F173="",0,$F173/5)</f>
        <v/>
      </c>
      <c r="J173" s="33">
        <f>_xlfn.LET(_xlpm.inicio,MAX($D173,J$3),_xlpm.fin,MIN($E173,J$4),_xlpm.feriados,IF($H173="CO",FER_CO,FER_EC),_xlpm.dias,IF(_xlpm.inicio&gt;_xlpm.fin,0,NETWORKDAYS(_xlpm.inicio,_xlpm.fin,_xlpm.feriados)),_xlpm.factor,IF($G173="Probable",IF(Parametros!$B$6="Sí",1,0),1),IF(OR($A173="",$D173="",$E173=""),0,_xlpm.dias*$I173*_xlpm.factor))</f>
        <v/>
      </c>
      <c r="K173" s="33">
        <f>_xlfn.LET(_xlpm.inicio,MAX($D173,K$3),_xlpm.fin,MIN($E173,K$4),_xlpm.feriados,IF($H173="CO",FER_CO,FER_EC),_xlpm.dias,IF(_xlpm.inicio&gt;_xlpm.fin,0,NETWORKDAYS(_xlpm.inicio,_xlpm.fin,_xlpm.feriados)),_xlpm.factor,IF($G173="Probable",IF(Parametros!$B$6="Sí",1,0),1),IF(OR($A173="",$D173="",$E173=""),0,_xlpm.dias*$I173*_xlpm.factor))</f>
        <v/>
      </c>
      <c r="L173" s="33">
        <f>_xlfn.LET(_xlpm.inicio,MAX($D173,L$3),_xlpm.fin,MIN($E173,L$4),_xlpm.feriados,IF($H173="CO",FER_CO,FER_EC),_xlpm.dias,IF(_xlpm.inicio&gt;_xlpm.fin,0,NETWORKDAYS(_xlpm.inicio,_xlpm.fin,_xlpm.feriados)),_xlpm.factor,IF($G173="Probable",IF(Parametros!$B$6="Sí",1,0),1),IF(OR($A173="",$D173="",$E173=""),0,_xlpm.dias*$I173*_xlpm.factor))</f>
        <v/>
      </c>
      <c r="M173" s="33">
        <f>_xlfn.LET(_xlpm.inicio,MAX($D173,M$3),_xlpm.fin,MIN($E173,M$4),_xlpm.feriados,IF($H173="CO",FER_CO,FER_EC),_xlpm.dias,IF(_xlpm.inicio&gt;_xlpm.fin,0,NETWORKDAYS(_xlpm.inicio,_xlpm.fin,_xlpm.feriados)),_xlpm.factor,IF($G173="Probable",IF(Parametros!$B$6="Sí",1,0),1),IF(OR($A173="",$D173="",$E173=""),0,_xlpm.dias*$I173*_xlpm.factor))</f>
        <v/>
      </c>
      <c r="N173" s="33">
        <f>_xlfn.LET(_xlpm.inicio,MAX($D173,N$3),_xlpm.fin,MIN($E173,N$4),_xlpm.feriados,IF($H173="CO",FER_CO,FER_EC),_xlpm.dias,IF(_xlpm.inicio&gt;_xlpm.fin,0,NETWORKDAYS(_xlpm.inicio,_xlpm.fin,_xlpm.feriados)),_xlpm.factor,IF($G173="Probable",IF(Parametros!$B$6="Sí",1,0),1),IF(OR($A173="",$D173="",$E173=""),0,_xlpm.dias*$I173*_xlpm.factor))</f>
        <v/>
      </c>
      <c r="O173" s="33">
        <f>_xlfn.LET(_xlpm.inicio,MAX($D173,O$3),_xlpm.fin,MIN($E173,O$4),_xlpm.feriados,IF($H173="CO",FER_CO,FER_EC),_xlpm.dias,IF(_xlpm.inicio&gt;_xlpm.fin,0,NETWORKDAYS(_xlpm.inicio,_xlpm.fin,_xlpm.feriados)),_xlpm.factor,IF($G173="Probable",IF(Parametros!$B$6="Sí",1,0),1),IF(OR($A173="",$D173="",$E173=""),0,_xlpm.dias*$I173*_xlpm.factor))</f>
        <v/>
      </c>
      <c r="P173" s="34">
        <f>_xlfn.LET(_xlpm.horas,J173,_xlpm.feriados,IF($H173="CO",FER_CO,FER_EC),_xlpm.capacidad,NETWORKDAYS(J$3,J$4,_xlpm.feriados)*INDEX(Consultores!$C$6:$C$65,MATCH($A173,Consultores!$A$6:$A$65,0)),IF(_xlpm.horas=0,"",IFERROR(_xlpm.horas/_xlpm.capacidad,"")))</f>
        <v/>
      </c>
      <c r="Q173" s="34">
        <f>_xlfn.LET(_xlpm.horas,K173,_xlpm.feriados,IF($H173="CO",FER_CO,FER_EC),_xlpm.capacidad,NETWORKDAYS(K$3,K$4,_xlpm.feriados)*INDEX(Consultores!$C$6:$C$65,MATCH($A173,Consultores!$A$6:$A$65,0)),IF(_xlpm.horas=0,"",IFERROR(_xlpm.horas/_xlpm.capacidad,"")))</f>
        <v/>
      </c>
      <c r="R173" s="34">
        <f>_xlfn.LET(_xlpm.horas,L173,_xlpm.feriados,IF($H173="CO",FER_CO,FER_EC),_xlpm.capacidad,NETWORKDAYS(L$3,L$4,_xlpm.feriados)*INDEX(Consultores!$C$6:$C$65,MATCH($A173,Consultores!$A$6:$A$65,0)),IF(_xlpm.horas=0,"",IFERROR(_xlpm.horas/_xlpm.capacidad,"")))</f>
        <v/>
      </c>
      <c r="S173" s="34">
        <f>_xlfn.LET(_xlpm.horas,M173,_xlpm.feriados,IF($H173="CO",FER_CO,FER_EC),_xlpm.capacidad,NETWORKDAYS(M$3,M$4,_xlpm.feriados)*INDEX(Consultores!$C$6:$C$65,MATCH($A173,Consultores!$A$6:$A$65,0)),IF(_xlpm.horas=0,"",IFERROR(_xlpm.horas/_xlpm.capacidad,"")))</f>
        <v/>
      </c>
      <c r="T173" s="34">
        <f>_xlfn.LET(_xlpm.horas,N173,_xlpm.feriados,IF($H173="CO",FER_CO,FER_EC),_xlpm.capacidad,NETWORKDAYS(N$3,N$4,_xlpm.feriados)*INDEX(Consultores!$C$6:$C$65,MATCH($A173,Consultores!$A$6:$A$65,0)),IF(_xlpm.horas=0,"",IFERROR(_xlpm.horas/_xlpm.capacidad,"")))</f>
        <v/>
      </c>
      <c r="U173" s="34">
        <f>_xlfn.LET(_xlpm.horas,O173,_xlpm.feriados,IF($H173="CO",FER_CO,FER_EC),_xlpm.capacidad,NETWORKDAYS(O$3,O$4,_xlpm.feriados)*INDEX(Consultores!$C$6:$C$65,MATCH($A173,Consultores!$A$6:$A$65,0)),IF(_xlpm.horas=0,"",IFERROR(_xlpm.horas/_xlpm.capacidad,"")))</f>
        <v/>
      </c>
    </row>
    <row r="174">
      <c r="A174" s="25" t="n"/>
      <c r="B174" s="25" t="n"/>
      <c r="C174" s="25" t="n"/>
      <c r="D174" s="30" t="n"/>
      <c r="E174" s="30" t="n"/>
      <c r="F174" s="26" t="n"/>
      <c r="G174" s="25" t="n"/>
      <c r="H174" s="31">
        <f>IF($A174="","",IFERROR(INDEX(Consultores!$B$6:$B$65,MATCH($A174,Consultores!$A$6:$A$65,0)),"No existe"))</f>
        <v/>
      </c>
      <c r="I174" s="32">
        <f>IF($F174="",0,$F174/5)</f>
        <v/>
      </c>
      <c r="J174" s="33">
        <f>_xlfn.LET(_xlpm.inicio,MAX($D174,J$3),_xlpm.fin,MIN($E174,J$4),_xlpm.feriados,IF($H174="CO",FER_CO,FER_EC),_xlpm.dias,IF(_xlpm.inicio&gt;_xlpm.fin,0,NETWORKDAYS(_xlpm.inicio,_xlpm.fin,_xlpm.feriados)),_xlpm.factor,IF($G174="Probable",IF(Parametros!$B$6="Sí",1,0),1),IF(OR($A174="",$D174="",$E174=""),0,_xlpm.dias*$I174*_xlpm.factor))</f>
        <v/>
      </c>
      <c r="K174" s="33">
        <f>_xlfn.LET(_xlpm.inicio,MAX($D174,K$3),_xlpm.fin,MIN($E174,K$4),_xlpm.feriados,IF($H174="CO",FER_CO,FER_EC),_xlpm.dias,IF(_xlpm.inicio&gt;_xlpm.fin,0,NETWORKDAYS(_xlpm.inicio,_xlpm.fin,_xlpm.feriados)),_xlpm.factor,IF($G174="Probable",IF(Parametros!$B$6="Sí",1,0),1),IF(OR($A174="",$D174="",$E174=""),0,_xlpm.dias*$I174*_xlpm.factor))</f>
        <v/>
      </c>
      <c r="L174" s="33">
        <f>_xlfn.LET(_xlpm.inicio,MAX($D174,L$3),_xlpm.fin,MIN($E174,L$4),_xlpm.feriados,IF($H174="CO",FER_CO,FER_EC),_xlpm.dias,IF(_xlpm.inicio&gt;_xlpm.fin,0,NETWORKDAYS(_xlpm.inicio,_xlpm.fin,_xlpm.feriados)),_xlpm.factor,IF($G174="Probable",IF(Parametros!$B$6="Sí",1,0),1),IF(OR($A174="",$D174="",$E174=""),0,_xlpm.dias*$I174*_xlpm.factor))</f>
        <v/>
      </c>
      <c r="M174" s="33">
        <f>_xlfn.LET(_xlpm.inicio,MAX($D174,M$3),_xlpm.fin,MIN($E174,M$4),_xlpm.feriados,IF($H174="CO",FER_CO,FER_EC),_xlpm.dias,IF(_xlpm.inicio&gt;_xlpm.fin,0,NETWORKDAYS(_xlpm.inicio,_xlpm.fin,_xlpm.feriados)),_xlpm.factor,IF($G174="Probable",IF(Parametros!$B$6="Sí",1,0),1),IF(OR($A174="",$D174="",$E174=""),0,_xlpm.dias*$I174*_xlpm.factor))</f>
        <v/>
      </c>
      <c r="N174" s="33">
        <f>_xlfn.LET(_xlpm.inicio,MAX($D174,N$3),_xlpm.fin,MIN($E174,N$4),_xlpm.feriados,IF($H174="CO",FER_CO,FER_EC),_xlpm.dias,IF(_xlpm.inicio&gt;_xlpm.fin,0,NETWORKDAYS(_xlpm.inicio,_xlpm.fin,_xlpm.feriados)),_xlpm.factor,IF($G174="Probable",IF(Parametros!$B$6="Sí",1,0),1),IF(OR($A174="",$D174="",$E174=""),0,_xlpm.dias*$I174*_xlpm.factor))</f>
        <v/>
      </c>
      <c r="O174" s="33">
        <f>_xlfn.LET(_xlpm.inicio,MAX($D174,O$3),_xlpm.fin,MIN($E174,O$4),_xlpm.feriados,IF($H174="CO",FER_CO,FER_EC),_xlpm.dias,IF(_xlpm.inicio&gt;_xlpm.fin,0,NETWORKDAYS(_xlpm.inicio,_xlpm.fin,_xlpm.feriados)),_xlpm.factor,IF($G174="Probable",IF(Parametros!$B$6="Sí",1,0),1),IF(OR($A174="",$D174="",$E174=""),0,_xlpm.dias*$I174*_xlpm.factor))</f>
        <v/>
      </c>
      <c r="P174" s="34">
        <f>_xlfn.LET(_xlpm.horas,J174,_xlpm.feriados,IF($H174="CO",FER_CO,FER_EC),_xlpm.capacidad,NETWORKDAYS(J$3,J$4,_xlpm.feriados)*INDEX(Consultores!$C$6:$C$65,MATCH($A174,Consultores!$A$6:$A$65,0)),IF(_xlpm.horas=0,"",IFERROR(_xlpm.horas/_xlpm.capacidad,"")))</f>
        <v/>
      </c>
      <c r="Q174" s="34">
        <f>_xlfn.LET(_xlpm.horas,K174,_xlpm.feriados,IF($H174="CO",FER_CO,FER_EC),_xlpm.capacidad,NETWORKDAYS(K$3,K$4,_xlpm.feriados)*INDEX(Consultores!$C$6:$C$65,MATCH($A174,Consultores!$A$6:$A$65,0)),IF(_xlpm.horas=0,"",IFERROR(_xlpm.horas/_xlpm.capacidad,"")))</f>
        <v/>
      </c>
      <c r="R174" s="34">
        <f>_xlfn.LET(_xlpm.horas,L174,_xlpm.feriados,IF($H174="CO",FER_CO,FER_EC),_xlpm.capacidad,NETWORKDAYS(L$3,L$4,_xlpm.feriados)*INDEX(Consultores!$C$6:$C$65,MATCH($A174,Consultores!$A$6:$A$65,0)),IF(_xlpm.horas=0,"",IFERROR(_xlpm.horas/_xlpm.capacidad,"")))</f>
        <v/>
      </c>
      <c r="S174" s="34">
        <f>_xlfn.LET(_xlpm.horas,M174,_xlpm.feriados,IF($H174="CO",FER_CO,FER_EC),_xlpm.capacidad,NETWORKDAYS(M$3,M$4,_xlpm.feriados)*INDEX(Consultores!$C$6:$C$65,MATCH($A174,Consultores!$A$6:$A$65,0)),IF(_xlpm.horas=0,"",IFERROR(_xlpm.horas/_xlpm.capacidad,"")))</f>
        <v/>
      </c>
      <c r="T174" s="34">
        <f>_xlfn.LET(_xlpm.horas,N174,_xlpm.feriados,IF($H174="CO",FER_CO,FER_EC),_xlpm.capacidad,NETWORKDAYS(N$3,N$4,_xlpm.feriados)*INDEX(Consultores!$C$6:$C$65,MATCH($A174,Consultores!$A$6:$A$65,0)),IF(_xlpm.horas=0,"",IFERROR(_xlpm.horas/_xlpm.capacidad,"")))</f>
        <v/>
      </c>
      <c r="U174" s="34">
        <f>_xlfn.LET(_xlpm.horas,O174,_xlpm.feriados,IF($H174="CO",FER_CO,FER_EC),_xlpm.capacidad,NETWORKDAYS(O$3,O$4,_xlpm.feriados)*INDEX(Consultores!$C$6:$C$65,MATCH($A174,Consultores!$A$6:$A$65,0)),IF(_xlpm.horas=0,"",IFERROR(_xlpm.horas/_xlpm.capacidad,"")))</f>
        <v/>
      </c>
    </row>
    <row r="175">
      <c r="A175" s="25" t="n"/>
      <c r="B175" s="25" t="n"/>
      <c r="C175" s="25" t="n"/>
      <c r="D175" s="30" t="n"/>
      <c r="E175" s="30" t="n"/>
      <c r="F175" s="26" t="n"/>
      <c r="G175" s="25" t="n"/>
      <c r="H175" s="31">
        <f>IF($A175="","",IFERROR(INDEX(Consultores!$B$6:$B$65,MATCH($A175,Consultores!$A$6:$A$65,0)),"No existe"))</f>
        <v/>
      </c>
      <c r="I175" s="32">
        <f>IF($F175="",0,$F175/5)</f>
        <v/>
      </c>
      <c r="J175" s="33">
        <f>_xlfn.LET(_xlpm.inicio,MAX($D175,J$3),_xlpm.fin,MIN($E175,J$4),_xlpm.feriados,IF($H175="CO",FER_CO,FER_EC),_xlpm.dias,IF(_xlpm.inicio&gt;_xlpm.fin,0,NETWORKDAYS(_xlpm.inicio,_xlpm.fin,_xlpm.feriados)),_xlpm.factor,IF($G175="Probable",IF(Parametros!$B$6="Sí",1,0),1),IF(OR($A175="",$D175="",$E175=""),0,_xlpm.dias*$I175*_xlpm.factor))</f>
        <v/>
      </c>
      <c r="K175" s="33">
        <f>_xlfn.LET(_xlpm.inicio,MAX($D175,K$3),_xlpm.fin,MIN($E175,K$4),_xlpm.feriados,IF($H175="CO",FER_CO,FER_EC),_xlpm.dias,IF(_xlpm.inicio&gt;_xlpm.fin,0,NETWORKDAYS(_xlpm.inicio,_xlpm.fin,_xlpm.feriados)),_xlpm.factor,IF($G175="Probable",IF(Parametros!$B$6="Sí",1,0),1),IF(OR($A175="",$D175="",$E175=""),0,_xlpm.dias*$I175*_xlpm.factor))</f>
        <v/>
      </c>
      <c r="L175" s="33">
        <f>_xlfn.LET(_xlpm.inicio,MAX($D175,L$3),_xlpm.fin,MIN($E175,L$4),_xlpm.feriados,IF($H175="CO",FER_CO,FER_EC),_xlpm.dias,IF(_xlpm.inicio&gt;_xlpm.fin,0,NETWORKDAYS(_xlpm.inicio,_xlpm.fin,_xlpm.feriados)),_xlpm.factor,IF($G175="Probable",IF(Parametros!$B$6="Sí",1,0),1),IF(OR($A175="",$D175="",$E175=""),0,_xlpm.dias*$I175*_xlpm.factor))</f>
        <v/>
      </c>
      <c r="M175" s="33">
        <f>_xlfn.LET(_xlpm.inicio,MAX($D175,M$3),_xlpm.fin,MIN($E175,M$4),_xlpm.feriados,IF($H175="CO",FER_CO,FER_EC),_xlpm.dias,IF(_xlpm.inicio&gt;_xlpm.fin,0,NETWORKDAYS(_xlpm.inicio,_xlpm.fin,_xlpm.feriados)),_xlpm.factor,IF($G175="Probable",IF(Parametros!$B$6="Sí",1,0),1),IF(OR($A175="",$D175="",$E175=""),0,_xlpm.dias*$I175*_xlpm.factor))</f>
        <v/>
      </c>
      <c r="N175" s="33">
        <f>_xlfn.LET(_xlpm.inicio,MAX($D175,N$3),_xlpm.fin,MIN($E175,N$4),_xlpm.feriados,IF($H175="CO",FER_CO,FER_EC),_xlpm.dias,IF(_xlpm.inicio&gt;_xlpm.fin,0,NETWORKDAYS(_xlpm.inicio,_xlpm.fin,_xlpm.feriados)),_xlpm.factor,IF($G175="Probable",IF(Parametros!$B$6="Sí",1,0),1),IF(OR($A175="",$D175="",$E175=""),0,_xlpm.dias*$I175*_xlpm.factor))</f>
        <v/>
      </c>
      <c r="O175" s="33">
        <f>_xlfn.LET(_xlpm.inicio,MAX($D175,O$3),_xlpm.fin,MIN($E175,O$4),_xlpm.feriados,IF($H175="CO",FER_CO,FER_EC),_xlpm.dias,IF(_xlpm.inicio&gt;_xlpm.fin,0,NETWORKDAYS(_xlpm.inicio,_xlpm.fin,_xlpm.feriados)),_xlpm.factor,IF($G175="Probable",IF(Parametros!$B$6="Sí",1,0),1),IF(OR($A175="",$D175="",$E175=""),0,_xlpm.dias*$I175*_xlpm.factor))</f>
        <v/>
      </c>
      <c r="P175" s="34">
        <f>_xlfn.LET(_xlpm.horas,J175,_xlpm.feriados,IF($H175="CO",FER_CO,FER_EC),_xlpm.capacidad,NETWORKDAYS(J$3,J$4,_xlpm.feriados)*INDEX(Consultores!$C$6:$C$65,MATCH($A175,Consultores!$A$6:$A$65,0)),IF(_xlpm.horas=0,"",IFERROR(_xlpm.horas/_xlpm.capacidad,"")))</f>
        <v/>
      </c>
      <c r="Q175" s="34">
        <f>_xlfn.LET(_xlpm.horas,K175,_xlpm.feriados,IF($H175="CO",FER_CO,FER_EC),_xlpm.capacidad,NETWORKDAYS(K$3,K$4,_xlpm.feriados)*INDEX(Consultores!$C$6:$C$65,MATCH($A175,Consultores!$A$6:$A$65,0)),IF(_xlpm.horas=0,"",IFERROR(_xlpm.horas/_xlpm.capacidad,"")))</f>
        <v/>
      </c>
      <c r="R175" s="34">
        <f>_xlfn.LET(_xlpm.horas,L175,_xlpm.feriados,IF($H175="CO",FER_CO,FER_EC),_xlpm.capacidad,NETWORKDAYS(L$3,L$4,_xlpm.feriados)*INDEX(Consultores!$C$6:$C$65,MATCH($A175,Consultores!$A$6:$A$65,0)),IF(_xlpm.horas=0,"",IFERROR(_xlpm.horas/_xlpm.capacidad,"")))</f>
        <v/>
      </c>
      <c r="S175" s="34">
        <f>_xlfn.LET(_xlpm.horas,M175,_xlpm.feriados,IF($H175="CO",FER_CO,FER_EC),_xlpm.capacidad,NETWORKDAYS(M$3,M$4,_xlpm.feriados)*INDEX(Consultores!$C$6:$C$65,MATCH($A175,Consultores!$A$6:$A$65,0)),IF(_xlpm.horas=0,"",IFERROR(_xlpm.horas/_xlpm.capacidad,"")))</f>
        <v/>
      </c>
      <c r="T175" s="34">
        <f>_xlfn.LET(_xlpm.horas,N175,_xlpm.feriados,IF($H175="CO",FER_CO,FER_EC),_xlpm.capacidad,NETWORKDAYS(N$3,N$4,_xlpm.feriados)*INDEX(Consultores!$C$6:$C$65,MATCH($A175,Consultores!$A$6:$A$65,0)),IF(_xlpm.horas=0,"",IFERROR(_xlpm.horas/_xlpm.capacidad,"")))</f>
        <v/>
      </c>
      <c r="U175" s="34">
        <f>_xlfn.LET(_xlpm.horas,O175,_xlpm.feriados,IF($H175="CO",FER_CO,FER_EC),_xlpm.capacidad,NETWORKDAYS(O$3,O$4,_xlpm.feriados)*INDEX(Consultores!$C$6:$C$65,MATCH($A175,Consultores!$A$6:$A$65,0)),IF(_xlpm.horas=0,"",IFERROR(_xlpm.horas/_xlpm.capacidad,"")))</f>
        <v/>
      </c>
    </row>
    <row r="176">
      <c r="A176" s="25" t="n"/>
      <c r="B176" s="25" t="n"/>
      <c r="C176" s="25" t="n"/>
      <c r="D176" s="30" t="n"/>
      <c r="E176" s="30" t="n"/>
      <c r="F176" s="26" t="n"/>
      <c r="G176" s="25" t="n"/>
      <c r="H176" s="31">
        <f>IF($A176="","",IFERROR(INDEX(Consultores!$B$6:$B$65,MATCH($A176,Consultores!$A$6:$A$65,0)),"No existe"))</f>
        <v/>
      </c>
      <c r="I176" s="32">
        <f>IF($F176="",0,$F176/5)</f>
        <v/>
      </c>
      <c r="J176" s="33">
        <f>_xlfn.LET(_xlpm.inicio,MAX($D176,J$3),_xlpm.fin,MIN($E176,J$4),_xlpm.feriados,IF($H176="CO",FER_CO,FER_EC),_xlpm.dias,IF(_xlpm.inicio&gt;_xlpm.fin,0,NETWORKDAYS(_xlpm.inicio,_xlpm.fin,_xlpm.feriados)),_xlpm.factor,IF($G176="Probable",IF(Parametros!$B$6="Sí",1,0),1),IF(OR($A176="",$D176="",$E176=""),0,_xlpm.dias*$I176*_xlpm.factor))</f>
        <v/>
      </c>
      <c r="K176" s="33">
        <f>_xlfn.LET(_xlpm.inicio,MAX($D176,K$3),_xlpm.fin,MIN($E176,K$4),_xlpm.feriados,IF($H176="CO",FER_CO,FER_EC),_xlpm.dias,IF(_xlpm.inicio&gt;_xlpm.fin,0,NETWORKDAYS(_xlpm.inicio,_xlpm.fin,_xlpm.feriados)),_xlpm.factor,IF($G176="Probable",IF(Parametros!$B$6="Sí",1,0),1),IF(OR($A176="",$D176="",$E176=""),0,_xlpm.dias*$I176*_xlpm.factor))</f>
        <v/>
      </c>
      <c r="L176" s="33">
        <f>_xlfn.LET(_xlpm.inicio,MAX($D176,L$3),_xlpm.fin,MIN($E176,L$4),_xlpm.feriados,IF($H176="CO",FER_CO,FER_EC),_xlpm.dias,IF(_xlpm.inicio&gt;_xlpm.fin,0,NETWORKDAYS(_xlpm.inicio,_xlpm.fin,_xlpm.feriados)),_xlpm.factor,IF($G176="Probable",IF(Parametros!$B$6="Sí",1,0),1),IF(OR($A176="",$D176="",$E176=""),0,_xlpm.dias*$I176*_xlpm.factor))</f>
        <v/>
      </c>
      <c r="M176" s="33">
        <f>_xlfn.LET(_xlpm.inicio,MAX($D176,M$3),_xlpm.fin,MIN($E176,M$4),_xlpm.feriados,IF($H176="CO",FER_CO,FER_EC),_xlpm.dias,IF(_xlpm.inicio&gt;_xlpm.fin,0,NETWORKDAYS(_xlpm.inicio,_xlpm.fin,_xlpm.feriados)),_xlpm.factor,IF($G176="Probable",IF(Parametros!$B$6="Sí",1,0),1),IF(OR($A176="",$D176="",$E176=""),0,_xlpm.dias*$I176*_xlpm.factor))</f>
        <v/>
      </c>
      <c r="N176" s="33">
        <f>_xlfn.LET(_xlpm.inicio,MAX($D176,N$3),_xlpm.fin,MIN($E176,N$4),_xlpm.feriados,IF($H176="CO",FER_CO,FER_EC),_xlpm.dias,IF(_xlpm.inicio&gt;_xlpm.fin,0,NETWORKDAYS(_xlpm.inicio,_xlpm.fin,_xlpm.feriados)),_xlpm.factor,IF($G176="Probable",IF(Parametros!$B$6="Sí",1,0),1),IF(OR($A176="",$D176="",$E176=""),0,_xlpm.dias*$I176*_xlpm.factor))</f>
        <v/>
      </c>
      <c r="O176" s="33">
        <f>_xlfn.LET(_xlpm.inicio,MAX($D176,O$3),_xlpm.fin,MIN($E176,O$4),_xlpm.feriados,IF($H176="CO",FER_CO,FER_EC),_xlpm.dias,IF(_xlpm.inicio&gt;_xlpm.fin,0,NETWORKDAYS(_xlpm.inicio,_xlpm.fin,_xlpm.feriados)),_xlpm.factor,IF($G176="Probable",IF(Parametros!$B$6="Sí",1,0),1),IF(OR($A176="",$D176="",$E176=""),0,_xlpm.dias*$I176*_xlpm.factor))</f>
        <v/>
      </c>
      <c r="P176" s="34">
        <f>_xlfn.LET(_xlpm.horas,J176,_xlpm.feriados,IF($H176="CO",FER_CO,FER_EC),_xlpm.capacidad,NETWORKDAYS(J$3,J$4,_xlpm.feriados)*INDEX(Consultores!$C$6:$C$65,MATCH($A176,Consultores!$A$6:$A$65,0)),IF(_xlpm.horas=0,"",IFERROR(_xlpm.horas/_xlpm.capacidad,"")))</f>
        <v/>
      </c>
      <c r="Q176" s="34">
        <f>_xlfn.LET(_xlpm.horas,K176,_xlpm.feriados,IF($H176="CO",FER_CO,FER_EC),_xlpm.capacidad,NETWORKDAYS(K$3,K$4,_xlpm.feriados)*INDEX(Consultores!$C$6:$C$65,MATCH($A176,Consultores!$A$6:$A$65,0)),IF(_xlpm.horas=0,"",IFERROR(_xlpm.horas/_xlpm.capacidad,"")))</f>
        <v/>
      </c>
      <c r="R176" s="34">
        <f>_xlfn.LET(_xlpm.horas,L176,_xlpm.feriados,IF($H176="CO",FER_CO,FER_EC),_xlpm.capacidad,NETWORKDAYS(L$3,L$4,_xlpm.feriados)*INDEX(Consultores!$C$6:$C$65,MATCH($A176,Consultores!$A$6:$A$65,0)),IF(_xlpm.horas=0,"",IFERROR(_xlpm.horas/_xlpm.capacidad,"")))</f>
        <v/>
      </c>
      <c r="S176" s="34">
        <f>_xlfn.LET(_xlpm.horas,M176,_xlpm.feriados,IF($H176="CO",FER_CO,FER_EC),_xlpm.capacidad,NETWORKDAYS(M$3,M$4,_xlpm.feriados)*INDEX(Consultores!$C$6:$C$65,MATCH($A176,Consultores!$A$6:$A$65,0)),IF(_xlpm.horas=0,"",IFERROR(_xlpm.horas/_xlpm.capacidad,"")))</f>
        <v/>
      </c>
      <c r="T176" s="34">
        <f>_xlfn.LET(_xlpm.horas,N176,_xlpm.feriados,IF($H176="CO",FER_CO,FER_EC),_xlpm.capacidad,NETWORKDAYS(N$3,N$4,_xlpm.feriados)*INDEX(Consultores!$C$6:$C$65,MATCH($A176,Consultores!$A$6:$A$65,0)),IF(_xlpm.horas=0,"",IFERROR(_xlpm.horas/_xlpm.capacidad,"")))</f>
        <v/>
      </c>
      <c r="U176" s="34">
        <f>_xlfn.LET(_xlpm.horas,O176,_xlpm.feriados,IF($H176="CO",FER_CO,FER_EC),_xlpm.capacidad,NETWORKDAYS(O$3,O$4,_xlpm.feriados)*INDEX(Consultores!$C$6:$C$65,MATCH($A176,Consultores!$A$6:$A$65,0)),IF(_xlpm.horas=0,"",IFERROR(_xlpm.horas/_xlpm.capacidad,"")))</f>
        <v/>
      </c>
    </row>
    <row r="177">
      <c r="A177" s="25" t="n"/>
      <c r="B177" s="25" t="n"/>
      <c r="C177" s="25" t="n"/>
      <c r="D177" s="30" t="n"/>
      <c r="E177" s="30" t="n"/>
      <c r="F177" s="26" t="n"/>
      <c r="G177" s="25" t="n"/>
      <c r="H177" s="31">
        <f>IF($A177="","",IFERROR(INDEX(Consultores!$B$6:$B$65,MATCH($A177,Consultores!$A$6:$A$65,0)),"No existe"))</f>
        <v/>
      </c>
      <c r="I177" s="32">
        <f>IF($F177="",0,$F177/5)</f>
        <v/>
      </c>
      <c r="J177" s="33">
        <f>_xlfn.LET(_xlpm.inicio,MAX($D177,J$3),_xlpm.fin,MIN($E177,J$4),_xlpm.feriados,IF($H177="CO",FER_CO,FER_EC),_xlpm.dias,IF(_xlpm.inicio&gt;_xlpm.fin,0,NETWORKDAYS(_xlpm.inicio,_xlpm.fin,_xlpm.feriados)),_xlpm.factor,IF($G177="Probable",IF(Parametros!$B$6="Sí",1,0),1),IF(OR($A177="",$D177="",$E177=""),0,_xlpm.dias*$I177*_xlpm.factor))</f>
        <v/>
      </c>
      <c r="K177" s="33">
        <f>_xlfn.LET(_xlpm.inicio,MAX($D177,K$3),_xlpm.fin,MIN($E177,K$4),_xlpm.feriados,IF($H177="CO",FER_CO,FER_EC),_xlpm.dias,IF(_xlpm.inicio&gt;_xlpm.fin,0,NETWORKDAYS(_xlpm.inicio,_xlpm.fin,_xlpm.feriados)),_xlpm.factor,IF($G177="Probable",IF(Parametros!$B$6="Sí",1,0),1),IF(OR($A177="",$D177="",$E177=""),0,_xlpm.dias*$I177*_xlpm.factor))</f>
        <v/>
      </c>
      <c r="L177" s="33">
        <f>_xlfn.LET(_xlpm.inicio,MAX($D177,L$3),_xlpm.fin,MIN($E177,L$4),_xlpm.feriados,IF($H177="CO",FER_CO,FER_EC),_xlpm.dias,IF(_xlpm.inicio&gt;_xlpm.fin,0,NETWORKDAYS(_xlpm.inicio,_xlpm.fin,_xlpm.feriados)),_xlpm.factor,IF($G177="Probable",IF(Parametros!$B$6="Sí",1,0),1),IF(OR($A177="",$D177="",$E177=""),0,_xlpm.dias*$I177*_xlpm.factor))</f>
        <v/>
      </c>
      <c r="M177" s="33">
        <f>_xlfn.LET(_xlpm.inicio,MAX($D177,M$3),_xlpm.fin,MIN($E177,M$4),_xlpm.feriados,IF($H177="CO",FER_CO,FER_EC),_xlpm.dias,IF(_xlpm.inicio&gt;_xlpm.fin,0,NETWORKDAYS(_xlpm.inicio,_xlpm.fin,_xlpm.feriados)),_xlpm.factor,IF($G177="Probable",IF(Parametros!$B$6="Sí",1,0),1),IF(OR($A177="",$D177="",$E177=""),0,_xlpm.dias*$I177*_xlpm.factor))</f>
        <v/>
      </c>
      <c r="N177" s="33">
        <f>_xlfn.LET(_xlpm.inicio,MAX($D177,N$3),_xlpm.fin,MIN($E177,N$4),_xlpm.feriados,IF($H177="CO",FER_CO,FER_EC),_xlpm.dias,IF(_xlpm.inicio&gt;_xlpm.fin,0,NETWORKDAYS(_xlpm.inicio,_xlpm.fin,_xlpm.feriados)),_xlpm.factor,IF($G177="Probable",IF(Parametros!$B$6="Sí",1,0),1),IF(OR($A177="",$D177="",$E177=""),0,_xlpm.dias*$I177*_xlpm.factor))</f>
        <v/>
      </c>
      <c r="O177" s="33">
        <f>_xlfn.LET(_xlpm.inicio,MAX($D177,O$3),_xlpm.fin,MIN($E177,O$4),_xlpm.feriados,IF($H177="CO",FER_CO,FER_EC),_xlpm.dias,IF(_xlpm.inicio&gt;_xlpm.fin,0,NETWORKDAYS(_xlpm.inicio,_xlpm.fin,_xlpm.feriados)),_xlpm.factor,IF($G177="Probable",IF(Parametros!$B$6="Sí",1,0),1),IF(OR($A177="",$D177="",$E177=""),0,_xlpm.dias*$I177*_xlpm.factor))</f>
        <v/>
      </c>
      <c r="P177" s="34">
        <f>_xlfn.LET(_xlpm.horas,J177,_xlpm.feriados,IF($H177="CO",FER_CO,FER_EC),_xlpm.capacidad,NETWORKDAYS(J$3,J$4,_xlpm.feriados)*INDEX(Consultores!$C$6:$C$65,MATCH($A177,Consultores!$A$6:$A$65,0)),IF(_xlpm.horas=0,"",IFERROR(_xlpm.horas/_xlpm.capacidad,"")))</f>
        <v/>
      </c>
      <c r="Q177" s="34">
        <f>_xlfn.LET(_xlpm.horas,K177,_xlpm.feriados,IF($H177="CO",FER_CO,FER_EC),_xlpm.capacidad,NETWORKDAYS(K$3,K$4,_xlpm.feriados)*INDEX(Consultores!$C$6:$C$65,MATCH($A177,Consultores!$A$6:$A$65,0)),IF(_xlpm.horas=0,"",IFERROR(_xlpm.horas/_xlpm.capacidad,"")))</f>
        <v/>
      </c>
      <c r="R177" s="34">
        <f>_xlfn.LET(_xlpm.horas,L177,_xlpm.feriados,IF($H177="CO",FER_CO,FER_EC),_xlpm.capacidad,NETWORKDAYS(L$3,L$4,_xlpm.feriados)*INDEX(Consultores!$C$6:$C$65,MATCH($A177,Consultores!$A$6:$A$65,0)),IF(_xlpm.horas=0,"",IFERROR(_xlpm.horas/_xlpm.capacidad,"")))</f>
        <v/>
      </c>
      <c r="S177" s="34">
        <f>_xlfn.LET(_xlpm.horas,M177,_xlpm.feriados,IF($H177="CO",FER_CO,FER_EC),_xlpm.capacidad,NETWORKDAYS(M$3,M$4,_xlpm.feriados)*INDEX(Consultores!$C$6:$C$65,MATCH($A177,Consultores!$A$6:$A$65,0)),IF(_xlpm.horas=0,"",IFERROR(_xlpm.horas/_xlpm.capacidad,"")))</f>
        <v/>
      </c>
      <c r="T177" s="34">
        <f>_xlfn.LET(_xlpm.horas,N177,_xlpm.feriados,IF($H177="CO",FER_CO,FER_EC),_xlpm.capacidad,NETWORKDAYS(N$3,N$4,_xlpm.feriados)*INDEX(Consultores!$C$6:$C$65,MATCH($A177,Consultores!$A$6:$A$65,0)),IF(_xlpm.horas=0,"",IFERROR(_xlpm.horas/_xlpm.capacidad,"")))</f>
        <v/>
      </c>
      <c r="U177" s="34">
        <f>_xlfn.LET(_xlpm.horas,O177,_xlpm.feriados,IF($H177="CO",FER_CO,FER_EC),_xlpm.capacidad,NETWORKDAYS(O$3,O$4,_xlpm.feriados)*INDEX(Consultores!$C$6:$C$65,MATCH($A177,Consultores!$A$6:$A$65,0)),IF(_xlpm.horas=0,"",IFERROR(_xlpm.horas/_xlpm.capacidad,"")))</f>
        <v/>
      </c>
    </row>
    <row r="178">
      <c r="A178" s="25" t="n"/>
      <c r="B178" s="25" t="n"/>
      <c r="C178" s="25" t="n"/>
      <c r="D178" s="30" t="n"/>
      <c r="E178" s="30" t="n"/>
      <c r="F178" s="26" t="n"/>
      <c r="G178" s="25" t="n"/>
      <c r="H178" s="31">
        <f>IF($A178="","",IFERROR(INDEX(Consultores!$B$6:$B$65,MATCH($A178,Consultores!$A$6:$A$65,0)),"No existe"))</f>
        <v/>
      </c>
      <c r="I178" s="32">
        <f>IF($F178="",0,$F178/5)</f>
        <v/>
      </c>
      <c r="J178" s="33">
        <f>_xlfn.LET(_xlpm.inicio,MAX($D178,J$3),_xlpm.fin,MIN($E178,J$4),_xlpm.feriados,IF($H178="CO",FER_CO,FER_EC),_xlpm.dias,IF(_xlpm.inicio&gt;_xlpm.fin,0,NETWORKDAYS(_xlpm.inicio,_xlpm.fin,_xlpm.feriados)),_xlpm.factor,IF($G178="Probable",IF(Parametros!$B$6="Sí",1,0),1),IF(OR($A178="",$D178="",$E178=""),0,_xlpm.dias*$I178*_xlpm.factor))</f>
        <v/>
      </c>
      <c r="K178" s="33">
        <f>_xlfn.LET(_xlpm.inicio,MAX($D178,K$3),_xlpm.fin,MIN($E178,K$4),_xlpm.feriados,IF($H178="CO",FER_CO,FER_EC),_xlpm.dias,IF(_xlpm.inicio&gt;_xlpm.fin,0,NETWORKDAYS(_xlpm.inicio,_xlpm.fin,_xlpm.feriados)),_xlpm.factor,IF($G178="Probable",IF(Parametros!$B$6="Sí",1,0),1),IF(OR($A178="",$D178="",$E178=""),0,_xlpm.dias*$I178*_xlpm.factor))</f>
        <v/>
      </c>
      <c r="L178" s="33">
        <f>_xlfn.LET(_xlpm.inicio,MAX($D178,L$3),_xlpm.fin,MIN($E178,L$4),_xlpm.feriados,IF($H178="CO",FER_CO,FER_EC),_xlpm.dias,IF(_xlpm.inicio&gt;_xlpm.fin,0,NETWORKDAYS(_xlpm.inicio,_xlpm.fin,_xlpm.feriados)),_xlpm.factor,IF($G178="Probable",IF(Parametros!$B$6="Sí",1,0),1),IF(OR($A178="",$D178="",$E178=""),0,_xlpm.dias*$I178*_xlpm.factor))</f>
        <v/>
      </c>
      <c r="M178" s="33">
        <f>_xlfn.LET(_xlpm.inicio,MAX($D178,M$3),_xlpm.fin,MIN($E178,M$4),_xlpm.feriados,IF($H178="CO",FER_CO,FER_EC),_xlpm.dias,IF(_xlpm.inicio&gt;_xlpm.fin,0,NETWORKDAYS(_xlpm.inicio,_xlpm.fin,_xlpm.feriados)),_xlpm.factor,IF($G178="Probable",IF(Parametros!$B$6="Sí",1,0),1),IF(OR($A178="",$D178="",$E178=""),0,_xlpm.dias*$I178*_xlpm.factor))</f>
        <v/>
      </c>
      <c r="N178" s="33">
        <f>_xlfn.LET(_xlpm.inicio,MAX($D178,N$3),_xlpm.fin,MIN($E178,N$4),_xlpm.feriados,IF($H178="CO",FER_CO,FER_EC),_xlpm.dias,IF(_xlpm.inicio&gt;_xlpm.fin,0,NETWORKDAYS(_xlpm.inicio,_xlpm.fin,_xlpm.feriados)),_xlpm.factor,IF($G178="Probable",IF(Parametros!$B$6="Sí",1,0),1),IF(OR($A178="",$D178="",$E178=""),0,_xlpm.dias*$I178*_xlpm.factor))</f>
        <v/>
      </c>
      <c r="O178" s="33">
        <f>_xlfn.LET(_xlpm.inicio,MAX($D178,O$3),_xlpm.fin,MIN($E178,O$4),_xlpm.feriados,IF($H178="CO",FER_CO,FER_EC),_xlpm.dias,IF(_xlpm.inicio&gt;_xlpm.fin,0,NETWORKDAYS(_xlpm.inicio,_xlpm.fin,_xlpm.feriados)),_xlpm.factor,IF($G178="Probable",IF(Parametros!$B$6="Sí",1,0),1),IF(OR($A178="",$D178="",$E178=""),0,_xlpm.dias*$I178*_xlpm.factor))</f>
        <v/>
      </c>
      <c r="P178" s="34">
        <f>_xlfn.LET(_xlpm.horas,J178,_xlpm.feriados,IF($H178="CO",FER_CO,FER_EC),_xlpm.capacidad,NETWORKDAYS(J$3,J$4,_xlpm.feriados)*INDEX(Consultores!$C$6:$C$65,MATCH($A178,Consultores!$A$6:$A$65,0)),IF(_xlpm.horas=0,"",IFERROR(_xlpm.horas/_xlpm.capacidad,"")))</f>
        <v/>
      </c>
      <c r="Q178" s="34">
        <f>_xlfn.LET(_xlpm.horas,K178,_xlpm.feriados,IF($H178="CO",FER_CO,FER_EC),_xlpm.capacidad,NETWORKDAYS(K$3,K$4,_xlpm.feriados)*INDEX(Consultores!$C$6:$C$65,MATCH($A178,Consultores!$A$6:$A$65,0)),IF(_xlpm.horas=0,"",IFERROR(_xlpm.horas/_xlpm.capacidad,"")))</f>
        <v/>
      </c>
      <c r="R178" s="34">
        <f>_xlfn.LET(_xlpm.horas,L178,_xlpm.feriados,IF($H178="CO",FER_CO,FER_EC),_xlpm.capacidad,NETWORKDAYS(L$3,L$4,_xlpm.feriados)*INDEX(Consultores!$C$6:$C$65,MATCH($A178,Consultores!$A$6:$A$65,0)),IF(_xlpm.horas=0,"",IFERROR(_xlpm.horas/_xlpm.capacidad,"")))</f>
        <v/>
      </c>
      <c r="S178" s="34">
        <f>_xlfn.LET(_xlpm.horas,M178,_xlpm.feriados,IF($H178="CO",FER_CO,FER_EC),_xlpm.capacidad,NETWORKDAYS(M$3,M$4,_xlpm.feriados)*INDEX(Consultores!$C$6:$C$65,MATCH($A178,Consultores!$A$6:$A$65,0)),IF(_xlpm.horas=0,"",IFERROR(_xlpm.horas/_xlpm.capacidad,"")))</f>
        <v/>
      </c>
      <c r="T178" s="34">
        <f>_xlfn.LET(_xlpm.horas,N178,_xlpm.feriados,IF($H178="CO",FER_CO,FER_EC),_xlpm.capacidad,NETWORKDAYS(N$3,N$4,_xlpm.feriados)*INDEX(Consultores!$C$6:$C$65,MATCH($A178,Consultores!$A$6:$A$65,0)),IF(_xlpm.horas=0,"",IFERROR(_xlpm.horas/_xlpm.capacidad,"")))</f>
        <v/>
      </c>
      <c r="U178" s="34">
        <f>_xlfn.LET(_xlpm.horas,O178,_xlpm.feriados,IF($H178="CO",FER_CO,FER_EC),_xlpm.capacidad,NETWORKDAYS(O$3,O$4,_xlpm.feriados)*INDEX(Consultores!$C$6:$C$65,MATCH($A178,Consultores!$A$6:$A$65,0)),IF(_xlpm.horas=0,"",IFERROR(_xlpm.horas/_xlpm.capacidad,"")))</f>
        <v/>
      </c>
    </row>
    <row r="179">
      <c r="A179" s="25" t="n"/>
      <c r="B179" s="25" t="n"/>
      <c r="C179" s="25" t="n"/>
      <c r="D179" s="30" t="n"/>
      <c r="E179" s="30" t="n"/>
      <c r="F179" s="26" t="n"/>
      <c r="G179" s="25" t="n"/>
      <c r="H179" s="31">
        <f>IF($A179="","",IFERROR(INDEX(Consultores!$B$6:$B$65,MATCH($A179,Consultores!$A$6:$A$65,0)),"No existe"))</f>
        <v/>
      </c>
      <c r="I179" s="32">
        <f>IF($F179="",0,$F179/5)</f>
        <v/>
      </c>
      <c r="J179" s="33">
        <f>_xlfn.LET(_xlpm.inicio,MAX($D179,J$3),_xlpm.fin,MIN($E179,J$4),_xlpm.feriados,IF($H179="CO",FER_CO,FER_EC),_xlpm.dias,IF(_xlpm.inicio&gt;_xlpm.fin,0,NETWORKDAYS(_xlpm.inicio,_xlpm.fin,_xlpm.feriados)),_xlpm.factor,IF($G179="Probable",IF(Parametros!$B$6="Sí",1,0),1),IF(OR($A179="",$D179="",$E179=""),0,_xlpm.dias*$I179*_xlpm.factor))</f>
        <v/>
      </c>
      <c r="K179" s="33">
        <f>_xlfn.LET(_xlpm.inicio,MAX($D179,K$3),_xlpm.fin,MIN($E179,K$4),_xlpm.feriados,IF($H179="CO",FER_CO,FER_EC),_xlpm.dias,IF(_xlpm.inicio&gt;_xlpm.fin,0,NETWORKDAYS(_xlpm.inicio,_xlpm.fin,_xlpm.feriados)),_xlpm.factor,IF($G179="Probable",IF(Parametros!$B$6="Sí",1,0),1),IF(OR($A179="",$D179="",$E179=""),0,_xlpm.dias*$I179*_xlpm.factor))</f>
        <v/>
      </c>
      <c r="L179" s="33">
        <f>_xlfn.LET(_xlpm.inicio,MAX($D179,L$3),_xlpm.fin,MIN($E179,L$4),_xlpm.feriados,IF($H179="CO",FER_CO,FER_EC),_xlpm.dias,IF(_xlpm.inicio&gt;_xlpm.fin,0,NETWORKDAYS(_xlpm.inicio,_xlpm.fin,_xlpm.feriados)),_xlpm.factor,IF($G179="Probable",IF(Parametros!$B$6="Sí",1,0),1),IF(OR($A179="",$D179="",$E179=""),0,_xlpm.dias*$I179*_xlpm.factor))</f>
        <v/>
      </c>
      <c r="M179" s="33">
        <f>_xlfn.LET(_xlpm.inicio,MAX($D179,M$3),_xlpm.fin,MIN($E179,M$4),_xlpm.feriados,IF($H179="CO",FER_CO,FER_EC),_xlpm.dias,IF(_xlpm.inicio&gt;_xlpm.fin,0,NETWORKDAYS(_xlpm.inicio,_xlpm.fin,_xlpm.feriados)),_xlpm.factor,IF($G179="Probable",IF(Parametros!$B$6="Sí",1,0),1),IF(OR($A179="",$D179="",$E179=""),0,_xlpm.dias*$I179*_xlpm.factor))</f>
        <v/>
      </c>
      <c r="N179" s="33">
        <f>_xlfn.LET(_xlpm.inicio,MAX($D179,N$3),_xlpm.fin,MIN($E179,N$4),_xlpm.feriados,IF($H179="CO",FER_CO,FER_EC),_xlpm.dias,IF(_xlpm.inicio&gt;_xlpm.fin,0,NETWORKDAYS(_xlpm.inicio,_xlpm.fin,_xlpm.feriados)),_xlpm.factor,IF($G179="Probable",IF(Parametros!$B$6="Sí",1,0),1),IF(OR($A179="",$D179="",$E179=""),0,_xlpm.dias*$I179*_xlpm.factor))</f>
        <v/>
      </c>
      <c r="O179" s="33">
        <f>_xlfn.LET(_xlpm.inicio,MAX($D179,O$3),_xlpm.fin,MIN($E179,O$4),_xlpm.feriados,IF($H179="CO",FER_CO,FER_EC),_xlpm.dias,IF(_xlpm.inicio&gt;_xlpm.fin,0,NETWORKDAYS(_xlpm.inicio,_xlpm.fin,_xlpm.feriados)),_xlpm.factor,IF($G179="Probable",IF(Parametros!$B$6="Sí",1,0),1),IF(OR($A179="",$D179="",$E179=""),0,_xlpm.dias*$I179*_xlpm.factor))</f>
        <v/>
      </c>
      <c r="P179" s="34">
        <f>_xlfn.LET(_xlpm.horas,J179,_xlpm.feriados,IF($H179="CO",FER_CO,FER_EC),_xlpm.capacidad,NETWORKDAYS(J$3,J$4,_xlpm.feriados)*INDEX(Consultores!$C$6:$C$65,MATCH($A179,Consultores!$A$6:$A$65,0)),IF(_xlpm.horas=0,"",IFERROR(_xlpm.horas/_xlpm.capacidad,"")))</f>
        <v/>
      </c>
      <c r="Q179" s="34">
        <f>_xlfn.LET(_xlpm.horas,K179,_xlpm.feriados,IF($H179="CO",FER_CO,FER_EC),_xlpm.capacidad,NETWORKDAYS(K$3,K$4,_xlpm.feriados)*INDEX(Consultores!$C$6:$C$65,MATCH($A179,Consultores!$A$6:$A$65,0)),IF(_xlpm.horas=0,"",IFERROR(_xlpm.horas/_xlpm.capacidad,"")))</f>
        <v/>
      </c>
      <c r="R179" s="34">
        <f>_xlfn.LET(_xlpm.horas,L179,_xlpm.feriados,IF($H179="CO",FER_CO,FER_EC),_xlpm.capacidad,NETWORKDAYS(L$3,L$4,_xlpm.feriados)*INDEX(Consultores!$C$6:$C$65,MATCH($A179,Consultores!$A$6:$A$65,0)),IF(_xlpm.horas=0,"",IFERROR(_xlpm.horas/_xlpm.capacidad,"")))</f>
        <v/>
      </c>
      <c r="S179" s="34">
        <f>_xlfn.LET(_xlpm.horas,M179,_xlpm.feriados,IF($H179="CO",FER_CO,FER_EC),_xlpm.capacidad,NETWORKDAYS(M$3,M$4,_xlpm.feriados)*INDEX(Consultores!$C$6:$C$65,MATCH($A179,Consultores!$A$6:$A$65,0)),IF(_xlpm.horas=0,"",IFERROR(_xlpm.horas/_xlpm.capacidad,"")))</f>
        <v/>
      </c>
      <c r="T179" s="34">
        <f>_xlfn.LET(_xlpm.horas,N179,_xlpm.feriados,IF($H179="CO",FER_CO,FER_EC),_xlpm.capacidad,NETWORKDAYS(N$3,N$4,_xlpm.feriados)*INDEX(Consultores!$C$6:$C$65,MATCH($A179,Consultores!$A$6:$A$65,0)),IF(_xlpm.horas=0,"",IFERROR(_xlpm.horas/_xlpm.capacidad,"")))</f>
        <v/>
      </c>
      <c r="U179" s="34">
        <f>_xlfn.LET(_xlpm.horas,O179,_xlpm.feriados,IF($H179="CO",FER_CO,FER_EC),_xlpm.capacidad,NETWORKDAYS(O$3,O$4,_xlpm.feriados)*INDEX(Consultores!$C$6:$C$65,MATCH($A179,Consultores!$A$6:$A$65,0)),IF(_xlpm.horas=0,"",IFERROR(_xlpm.horas/_xlpm.capacidad,"")))</f>
        <v/>
      </c>
    </row>
    <row r="180">
      <c r="A180" s="25" t="n"/>
      <c r="B180" s="25" t="n"/>
      <c r="C180" s="25" t="n"/>
      <c r="D180" s="30" t="n"/>
      <c r="E180" s="30" t="n"/>
      <c r="F180" s="26" t="n"/>
      <c r="G180" s="25" t="n"/>
      <c r="H180" s="31">
        <f>IF($A180="","",IFERROR(INDEX(Consultores!$B$6:$B$65,MATCH($A180,Consultores!$A$6:$A$65,0)),"No existe"))</f>
        <v/>
      </c>
      <c r="I180" s="32">
        <f>IF($F180="",0,$F180/5)</f>
        <v/>
      </c>
      <c r="J180" s="33">
        <f>_xlfn.LET(_xlpm.inicio,MAX($D180,J$3),_xlpm.fin,MIN($E180,J$4),_xlpm.feriados,IF($H180="CO",FER_CO,FER_EC),_xlpm.dias,IF(_xlpm.inicio&gt;_xlpm.fin,0,NETWORKDAYS(_xlpm.inicio,_xlpm.fin,_xlpm.feriados)),_xlpm.factor,IF($G180="Probable",IF(Parametros!$B$6="Sí",1,0),1),IF(OR($A180="",$D180="",$E180=""),0,_xlpm.dias*$I180*_xlpm.factor))</f>
        <v/>
      </c>
      <c r="K180" s="33">
        <f>_xlfn.LET(_xlpm.inicio,MAX($D180,K$3),_xlpm.fin,MIN($E180,K$4),_xlpm.feriados,IF($H180="CO",FER_CO,FER_EC),_xlpm.dias,IF(_xlpm.inicio&gt;_xlpm.fin,0,NETWORKDAYS(_xlpm.inicio,_xlpm.fin,_xlpm.feriados)),_xlpm.factor,IF($G180="Probable",IF(Parametros!$B$6="Sí",1,0),1),IF(OR($A180="",$D180="",$E180=""),0,_xlpm.dias*$I180*_xlpm.factor))</f>
        <v/>
      </c>
      <c r="L180" s="33">
        <f>_xlfn.LET(_xlpm.inicio,MAX($D180,L$3),_xlpm.fin,MIN($E180,L$4),_xlpm.feriados,IF($H180="CO",FER_CO,FER_EC),_xlpm.dias,IF(_xlpm.inicio&gt;_xlpm.fin,0,NETWORKDAYS(_xlpm.inicio,_xlpm.fin,_xlpm.feriados)),_xlpm.factor,IF($G180="Probable",IF(Parametros!$B$6="Sí",1,0),1),IF(OR($A180="",$D180="",$E180=""),0,_xlpm.dias*$I180*_xlpm.factor))</f>
        <v/>
      </c>
      <c r="M180" s="33">
        <f>_xlfn.LET(_xlpm.inicio,MAX($D180,M$3),_xlpm.fin,MIN($E180,M$4),_xlpm.feriados,IF($H180="CO",FER_CO,FER_EC),_xlpm.dias,IF(_xlpm.inicio&gt;_xlpm.fin,0,NETWORKDAYS(_xlpm.inicio,_xlpm.fin,_xlpm.feriados)),_xlpm.factor,IF($G180="Probable",IF(Parametros!$B$6="Sí",1,0),1),IF(OR($A180="",$D180="",$E180=""),0,_xlpm.dias*$I180*_xlpm.factor))</f>
        <v/>
      </c>
      <c r="N180" s="33">
        <f>_xlfn.LET(_xlpm.inicio,MAX($D180,N$3),_xlpm.fin,MIN($E180,N$4),_xlpm.feriados,IF($H180="CO",FER_CO,FER_EC),_xlpm.dias,IF(_xlpm.inicio&gt;_xlpm.fin,0,NETWORKDAYS(_xlpm.inicio,_xlpm.fin,_xlpm.feriados)),_xlpm.factor,IF($G180="Probable",IF(Parametros!$B$6="Sí",1,0),1),IF(OR($A180="",$D180="",$E180=""),0,_xlpm.dias*$I180*_xlpm.factor))</f>
        <v/>
      </c>
      <c r="O180" s="33">
        <f>_xlfn.LET(_xlpm.inicio,MAX($D180,O$3),_xlpm.fin,MIN($E180,O$4),_xlpm.feriados,IF($H180="CO",FER_CO,FER_EC),_xlpm.dias,IF(_xlpm.inicio&gt;_xlpm.fin,0,NETWORKDAYS(_xlpm.inicio,_xlpm.fin,_xlpm.feriados)),_xlpm.factor,IF($G180="Probable",IF(Parametros!$B$6="Sí",1,0),1),IF(OR($A180="",$D180="",$E180=""),0,_xlpm.dias*$I180*_xlpm.factor))</f>
        <v/>
      </c>
      <c r="P180" s="34">
        <f>_xlfn.LET(_xlpm.horas,J180,_xlpm.feriados,IF($H180="CO",FER_CO,FER_EC),_xlpm.capacidad,NETWORKDAYS(J$3,J$4,_xlpm.feriados)*INDEX(Consultores!$C$6:$C$65,MATCH($A180,Consultores!$A$6:$A$65,0)),IF(_xlpm.horas=0,"",IFERROR(_xlpm.horas/_xlpm.capacidad,"")))</f>
        <v/>
      </c>
      <c r="Q180" s="34">
        <f>_xlfn.LET(_xlpm.horas,K180,_xlpm.feriados,IF($H180="CO",FER_CO,FER_EC),_xlpm.capacidad,NETWORKDAYS(K$3,K$4,_xlpm.feriados)*INDEX(Consultores!$C$6:$C$65,MATCH($A180,Consultores!$A$6:$A$65,0)),IF(_xlpm.horas=0,"",IFERROR(_xlpm.horas/_xlpm.capacidad,"")))</f>
        <v/>
      </c>
      <c r="R180" s="34">
        <f>_xlfn.LET(_xlpm.horas,L180,_xlpm.feriados,IF($H180="CO",FER_CO,FER_EC),_xlpm.capacidad,NETWORKDAYS(L$3,L$4,_xlpm.feriados)*INDEX(Consultores!$C$6:$C$65,MATCH($A180,Consultores!$A$6:$A$65,0)),IF(_xlpm.horas=0,"",IFERROR(_xlpm.horas/_xlpm.capacidad,"")))</f>
        <v/>
      </c>
      <c r="S180" s="34">
        <f>_xlfn.LET(_xlpm.horas,M180,_xlpm.feriados,IF($H180="CO",FER_CO,FER_EC),_xlpm.capacidad,NETWORKDAYS(M$3,M$4,_xlpm.feriados)*INDEX(Consultores!$C$6:$C$65,MATCH($A180,Consultores!$A$6:$A$65,0)),IF(_xlpm.horas=0,"",IFERROR(_xlpm.horas/_xlpm.capacidad,"")))</f>
        <v/>
      </c>
      <c r="T180" s="34">
        <f>_xlfn.LET(_xlpm.horas,N180,_xlpm.feriados,IF($H180="CO",FER_CO,FER_EC),_xlpm.capacidad,NETWORKDAYS(N$3,N$4,_xlpm.feriados)*INDEX(Consultores!$C$6:$C$65,MATCH($A180,Consultores!$A$6:$A$65,0)),IF(_xlpm.horas=0,"",IFERROR(_xlpm.horas/_xlpm.capacidad,"")))</f>
        <v/>
      </c>
      <c r="U180" s="34">
        <f>_xlfn.LET(_xlpm.horas,O180,_xlpm.feriados,IF($H180="CO",FER_CO,FER_EC),_xlpm.capacidad,NETWORKDAYS(O$3,O$4,_xlpm.feriados)*INDEX(Consultores!$C$6:$C$65,MATCH($A180,Consultores!$A$6:$A$65,0)),IF(_xlpm.horas=0,"",IFERROR(_xlpm.horas/_xlpm.capacidad,"")))</f>
        <v/>
      </c>
    </row>
    <row r="181">
      <c r="A181" s="25" t="n"/>
      <c r="B181" s="25" t="n"/>
      <c r="C181" s="25" t="n"/>
      <c r="D181" s="30" t="n"/>
      <c r="E181" s="30" t="n"/>
      <c r="F181" s="26" t="n"/>
      <c r="G181" s="25" t="n"/>
      <c r="H181" s="31">
        <f>IF($A181="","",IFERROR(INDEX(Consultores!$B$6:$B$65,MATCH($A181,Consultores!$A$6:$A$65,0)),"No existe"))</f>
        <v/>
      </c>
      <c r="I181" s="32">
        <f>IF($F181="",0,$F181/5)</f>
        <v/>
      </c>
      <c r="J181" s="33">
        <f>_xlfn.LET(_xlpm.inicio,MAX($D181,J$3),_xlpm.fin,MIN($E181,J$4),_xlpm.feriados,IF($H181="CO",FER_CO,FER_EC),_xlpm.dias,IF(_xlpm.inicio&gt;_xlpm.fin,0,NETWORKDAYS(_xlpm.inicio,_xlpm.fin,_xlpm.feriados)),_xlpm.factor,IF($G181="Probable",IF(Parametros!$B$6="Sí",1,0),1),IF(OR($A181="",$D181="",$E181=""),0,_xlpm.dias*$I181*_xlpm.factor))</f>
        <v/>
      </c>
      <c r="K181" s="33">
        <f>_xlfn.LET(_xlpm.inicio,MAX($D181,K$3),_xlpm.fin,MIN($E181,K$4),_xlpm.feriados,IF($H181="CO",FER_CO,FER_EC),_xlpm.dias,IF(_xlpm.inicio&gt;_xlpm.fin,0,NETWORKDAYS(_xlpm.inicio,_xlpm.fin,_xlpm.feriados)),_xlpm.factor,IF($G181="Probable",IF(Parametros!$B$6="Sí",1,0),1),IF(OR($A181="",$D181="",$E181=""),0,_xlpm.dias*$I181*_xlpm.factor))</f>
        <v/>
      </c>
      <c r="L181" s="33">
        <f>_xlfn.LET(_xlpm.inicio,MAX($D181,L$3),_xlpm.fin,MIN($E181,L$4),_xlpm.feriados,IF($H181="CO",FER_CO,FER_EC),_xlpm.dias,IF(_xlpm.inicio&gt;_xlpm.fin,0,NETWORKDAYS(_xlpm.inicio,_xlpm.fin,_xlpm.feriados)),_xlpm.factor,IF($G181="Probable",IF(Parametros!$B$6="Sí",1,0),1),IF(OR($A181="",$D181="",$E181=""),0,_xlpm.dias*$I181*_xlpm.factor))</f>
        <v/>
      </c>
      <c r="M181" s="33">
        <f>_xlfn.LET(_xlpm.inicio,MAX($D181,M$3),_xlpm.fin,MIN($E181,M$4),_xlpm.feriados,IF($H181="CO",FER_CO,FER_EC),_xlpm.dias,IF(_xlpm.inicio&gt;_xlpm.fin,0,NETWORKDAYS(_xlpm.inicio,_xlpm.fin,_xlpm.feriados)),_xlpm.factor,IF($G181="Probable",IF(Parametros!$B$6="Sí",1,0),1),IF(OR($A181="",$D181="",$E181=""),0,_xlpm.dias*$I181*_xlpm.factor))</f>
        <v/>
      </c>
      <c r="N181" s="33">
        <f>_xlfn.LET(_xlpm.inicio,MAX($D181,N$3),_xlpm.fin,MIN($E181,N$4),_xlpm.feriados,IF($H181="CO",FER_CO,FER_EC),_xlpm.dias,IF(_xlpm.inicio&gt;_xlpm.fin,0,NETWORKDAYS(_xlpm.inicio,_xlpm.fin,_xlpm.feriados)),_xlpm.factor,IF($G181="Probable",IF(Parametros!$B$6="Sí",1,0),1),IF(OR($A181="",$D181="",$E181=""),0,_xlpm.dias*$I181*_xlpm.factor))</f>
        <v/>
      </c>
      <c r="O181" s="33">
        <f>_xlfn.LET(_xlpm.inicio,MAX($D181,O$3),_xlpm.fin,MIN($E181,O$4),_xlpm.feriados,IF($H181="CO",FER_CO,FER_EC),_xlpm.dias,IF(_xlpm.inicio&gt;_xlpm.fin,0,NETWORKDAYS(_xlpm.inicio,_xlpm.fin,_xlpm.feriados)),_xlpm.factor,IF($G181="Probable",IF(Parametros!$B$6="Sí",1,0),1),IF(OR($A181="",$D181="",$E181=""),0,_xlpm.dias*$I181*_xlpm.factor))</f>
        <v/>
      </c>
      <c r="P181" s="34">
        <f>_xlfn.LET(_xlpm.horas,J181,_xlpm.feriados,IF($H181="CO",FER_CO,FER_EC),_xlpm.capacidad,NETWORKDAYS(J$3,J$4,_xlpm.feriados)*INDEX(Consultores!$C$6:$C$65,MATCH($A181,Consultores!$A$6:$A$65,0)),IF(_xlpm.horas=0,"",IFERROR(_xlpm.horas/_xlpm.capacidad,"")))</f>
        <v/>
      </c>
      <c r="Q181" s="34">
        <f>_xlfn.LET(_xlpm.horas,K181,_xlpm.feriados,IF($H181="CO",FER_CO,FER_EC),_xlpm.capacidad,NETWORKDAYS(K$3,K$4,_xlpm.feriados)*INDEX(Consultores!$C$6:$C$65,MATCH($A181,Consultores!$A$6:$A$65,0)),IF(_xlpm.horas=0,"",IFERROR(_xlpm.horas/_xlpm.capacidad,"")))</f>
        <v/>
      </c>
      <c r="R181" s="34">
        <f>_xlfn.LET(_xlpm.horas,L181,_xlpm.feriados,IF($H181="CO",FER_CO,FER_EC),_xlpm.capacidad,NETWORKDAYS(L$3,L$4,_xlpm.feriados)*INDEX(Consultores!$C$6:$C$65,MATCH($A181,Consultores!$A$6:$A$65,0)),IF(_xlpm.horas=0,"",IFERROR(_xlpm.horas/_xlpm.capacidad,"")))</f>
        <v/>
      </c>
      <c r="S181" s="34">
        <f>_xlfn.LET(_xlpm.horas,M181,_xlpm.feriados,IF($H181="CO",FER_CO,FER_EC),_xlpm.capacidad,NETWORKDAYS(M$3,M$4,_xlpm.feriados)*INDEX(Consultores!$C$6:$C$65,MATCH($A181,Consultores!$A$6:$A$65,0)),IF(_xlpm.horas=0,"",IFERROR(_xlpm.horas/_xlpm.capacidad,"")))</f>
        <v/>
      </c>
      <c r="T181" s="34">
        <f>_xlfn.LET(_xlpm.horas,N181,_xlpm.feriados,IF($H181="CO",FER_CO,FER_EC),_xlpm.capacidad,NETWORKDAYS(N$3,N$4,_xlpm.feriados)*INDEX(Consultores!$C$6:$C$65,MATCH($A181,Consultores!$A$6:$A$65,0)),IF(_xlpm.horas=0,"",IFERROR(_xlpm.horas/_xlpm.capacidad,"")))</f>
        <v/>
      </c>
      <c r="U181" s="34">
        <f>_xlfn.LET(_xlpm.horas,O181,_xlpm.feriados,IF($H181="CO",FER_CO,FER_EC),_xlpm.capacidad,NETWORKDAYS(O$3,O$4,_xlpm.feriados)*INDEX(Consultores!$C$6:$C$65,MATCH($A181,Consultores!$A$6:$A$65,0)),IF(_xlpm.horas=0,"",IFERROR(_xlpm.horas/_xlpm.capacidad,"")))</f>
        <v/>
      </c>
    </row>
    <row r="182">
      <c r="A182" s="25" t="n"/>
      <c r="B182" s="25" t="n"/>
      <c r="C182" s="25" t="n"/>
      <c r="D182" s="30" t="n"/>
      <c r="E182" s="30" t="n"/>
      <c r="F182" s="26" t="n"/>
      <c r="G182" s="25" t="n"/>
      <c r="H182" s="31">
        <f>IF($A182="","",IFERROR(INDEX(Consultores!$B$6:$B$65,MATCH($A182,Consultores!$A$6:$A$65,0)),"No existe"))</f>
        <v/>
      </c>
      <c r="I182" s="32">
        <f>IF($F182="",0,$F182/5)</f>
        <v/>
      </c>
      <c r="J182" s="33">
        <f>_xlfn.LET(_xlpm.inicio,MAX($D182,J$3),_xlpm.fin,MIN($E182,J$4),_xlpm.feriados,IF($H182="CO",FER_CO,FER_EC),_xlpm.dias,IF(_xlpm.inicio&gt;_xlpm.fin,0,NETWORKDAYS(_xlpm.inicio,_xlpm.fin,_xlpm.feriados)),_xlpm.factor,IF($G182="Probable",IF(Parametros!$B$6="Sí",1,0),1),IF(OR($A182="",$D182="",$E182=""),0,_xlpm.dias*$I182*_xlpm.factor))</f>
        <v/>
      </c>
      <c r="K182" s="33">
        <f>_xlfn.LET(_xlpm.inicio,MAX($D182,K$3),_xlpm.fin,MIN($E182,K$4),_xlpm.feriados,IF($H182="CO",FER_CO,FER_EC),_xlpm.dias,IF(_xlpm.inicio&gt;_xlpm.fin,0,NETWORKDAYS(_xlpm.inicio,_xlpm.fin,_xlpm.feriados)),_xlpm.factor,IF($G182="Probable",IF(Parametros!$B$6="Sí",1,0),1),IF(OR($A182="",$D182="",$E182=""),0,_xlpm.dias*$I182*_xlpm.factor))</f>
        <v/>
      </c>
      <c r="L182" s="33">
        <f>_xlfn.LET(_xlpm.inicio,MAX($D182,L$3),_xlpm.fin,MIN($E182,L$4),_xlpm.feriados,IF($H182="CO",FER_CO,FER_EC),_xlpm.dias,IF(_xlpm.inicio&gt;_xlpm.fin,0,NETWORKDAYS(_xlpm.inicio,_xlpm.fin,_xlpm.feriados)),_xlpm.factor,IF($G182="Probable",IF(Parametros!$B$6="Sí",1,0),1),IF(OR($A182="",$D182="",$E182=""),0,_xlpm.dias*$I182*_xlpm.factor))</f>
        <v/>
      </c>
      <c r="M182" s="33">
        <f>_xlfn.LET(_xlpm.inicio,MAX($D182,M$3),_xlpm.fin,MIN($E182,M$4),_xlpm.feriados,IF($H182="CO",FER_CO,FER_EC),_xlpm.dias,IF(_xlpm.inicio&gt;_xlpm.fin,0,NETWORKDAYS(_xlpm.inicio,_xlpm.fin,_xlpm.feriados)),_xlpm.factor,IF($G182="Probable",IF(Parametros!$B$6="Sí",1,0),1),IF(OR($A182="",$D182="",$E182=""),0,_xlpm.dias*$I182*_xlpm.factor))</f>
        <v/>
      </c>
      <c r="N182" s="33">
        <f>_xlfn.LET(_xlpm.inicio,MAX($D182,N$3),_xlpm.fin,MIN($E182,N$4),_xlpm.feriados,IF($H182="CO",FER_CO,FER_EC),_xlpm.dias,IF(_xlpm.inicio&gt;_xlpm.fin,0,NETWORKDAYS(_xlpm.inicio,_xlpm.fin,_xlpm.feriados)),_xlpm.factor,IF($G182="Probable",IF(Parametros!$B$6="Sí",1,0),1),IF(OR($A182="",$D182="",$E182=""),0,_xlpm.dias*$I182*_xlpm.factor))</f>
        <v/>
      </c>
      <c r="O182" s="33">
        <f>_xlfn.LET(_xlpm.inicio,MAX($D182,O$3),_xlpm.fin,MIN($E182,O$4),_xlpm.feriados,IF($H182="CO",FER_CO,FER_EC),_xlpm.dias,IF(_xlpm.inicio&gt;_xlpm.fin,0,NETWORKDAYS(_xlpm.inicio,_xlpm.fin,_xlpm.feriados)),_xlpm.factor,IF($G182="Probable",IF(Parametros!$B$6="Sí",1,0),1),IF(OR($A182="",$D182="",$E182=""),0,_xlpm.dias*$I182*_xlpm.factor))</f>
        <v/>
      </c>
      <c r="P182" s="34">
        <f>_xlfn.LET(_xlpm.horas,J182,_xlpm.feriados,IF($H182="CO",FER_CO,FER_EC),_xlpm.capacidad,NETWORKDAYS(J$3,J$4,_xlpm.feriados)*INDEX(Consultores!$C$6:$C$65,MATCH($A182,Consultores!$A$6:$A$65,0)),IF(_xlpm.horas=0,"",IFERROR(_xlpm.horas/_xlpm.capacidad,"")))</f>
        <v/>
      </c>
      <c r="Q182" s="34">
        <f>_xlfn.LET(_xlpm.horas,K182,_xlpm.feriados,IF($H182="CO",FER_CO,FER_EC),_xlpm.capacidad,NETWORKDAYS(K$3,K$4,_xlpm.feriados)*INDEX(Consultores!$C$6:$C$65,MATCH($A182,Consultores!$A$6:$A$65,0)),IF(_xlpm.horas=0,"",IFERROR(_xlpm.horas/_xlpm.capacidad,"")))</f>
        <v/>
      </c>
      <c r="R182" s="34">
        <f>_xlfn.LET(_xlpm.horas,L182,_xlpm.feriados,IF($H182="CO",FER_CO,FER_EC),_xlpm.capacidad,NETWORKDAYS(L$3,L$4,_xlpm.feriados)*INDEX(Consultores!$C$6:$C$65,MATCH($A182,Consultores!$A$6:$A$65,0)),IF(_xlpm.horas=0,"",IFERROR(_xlpm.horas/_xlpm.capacidad,"")))</f>
        <v/>
      </c>
      <c r="S182" s="34">
        <f>_xlfn.LET(_xlpm.horas,M182,_xlpm.feriados,IF($H182="CO",FER_CO,FER_EC),_xlpm.capacidad,NETWORKDAYS(M$3,M$4,_xlpm.feriados)*INDEX(Consultores!$C$6:$C$65,MATCH($A182,Consultores!$A$6:$A$65,0)),IF(_xlpm.horas=0,"",IFERROR(_xlpm.horas/_xlpm.capacidad,"")))</f>
        <v/>
      </c>
      <c r="T182" s="34">
        <f>_xlfn.LET(_xlpm.horas,N182,_xlpm.feriados,IF($H182="CO",FER_CO,FER_EC),_xlpm.capacidad,NETWORKDAYS(N$3,N$4,_xlpm.feriados)*INDEX(Consultores!$C$6:$C$65,MATCH($A182,Consultores!$A$6:$A$65,0)),IF(_xlpm.horas=0,"",IFERROR(_xlpm.horas/_xlpm.capacidad,"")))</f>
        <v/>
      </c>
      <c r="U182" s="34">
        <f>_xlfn.LET(_xlpm.horas,O182,_xlpm.feriados,IF($H182="CO",FER_CO,FER_EC),_xlpm.capacidad,NETWORKDAYS(O$3,O$4,_xlpm.feriados)*INDEX(Consultores!$C$6:$C$65,MATCH($A182,Consultores!$A$6:$A$65,0)),IF(_xlpm.horas=0,"",IFERROR(_xlpm.horas/_xlpm.capacidad,"")))</f>
        <v/>
      </c>
    </row>
    <row r="183">
      <c r="A183" s="25" t="n"/>
      <c r="B183" s="25" t="n"/>
      <c r="C183" s="25" t="n"/>
      <c r="D183" s="30" t="n"/>
      <c r="E183" s="30" t="n"/>
      <c r="F183" s="26" t="n"/>
      <c r="G183" s="25" t="n"/>
      <c r="H183" s="31">
        <f>IF($A183="","",IFERROR(INDEX(Consultores!$B$6:$B$65,MATCH($A183,Consultores!$A$6:$A$65,0)),"No existe"))</f>
        <v/>
      </c>
      <c r="I183" s="32">
        <f>IF($F183="",0,$F183/5)</f>
        <v/>
      </c>
      <c r="J183" s="33">
        <f>_xlfn.LET(_xlpm.inicio,MAX($D183,J$3),_xlpm.fin,MIN($E183,J$4),_xlpm.feriados,IF($H183="CO",FER_CO,FER_EC),_xlpm.dias,IF(_xlpm.inicio&gt;_xlpm.fin,0,NETWORKDAYS(_xlpm.inicio,_xlpm.fin,_xlpm.feriados)),_xlpm.factor,IF($G183="Probable",IF(Parametros!$B$6="Sí",1,0),1),IF(OR($A183="",$D183="",$E183=""),0,_xlpm.dias*$I183*_xlpm.factor))</f>
        <v/>
      </c>
      <c r="K183" s="33">
        <f>_xlfn.LET(_xlpm.inicio,MAX($D183,K$3),_xlpm.fin,MIN($E183,K$4),_xlpm.feriados,IF($H183="CO",FER_CO,FER_EC),_xlpm.dias,IF(_xlpm.inicio&gt;_xlpm.fin,0,NETWORKDAYS(_xlpm.inicio,_xlpm.fin,_xlpm.feriados)),_xlpm.factor,IF($G183="Probable",IF(Parametros!$B$6="Sí",1,0),1),IF(OR($A183="",$D183="",$E183=""),0,_xlpm.dias*$I183*_xlpm.factor))</f>
        <v/>
      </c>
      <c r="L183" s="33">
        <f>_xlfn.LET(_xlpm.inicio,MAX($D183,L$3),_xlpm.fin,MIN($E183,L$4),_xlpm.feriados,IF($H183="CO",FER_CO,FER_EC),_xlpm.dias,IF(_xlpm.inicio&gt;_xlpm.fin,0,NETWORKDAYS(_xlpm.inicio,_xlpm.fin,_xlpm.feriados)),_xlpm.factor,IF($G183="Probable",IF(Parametros!$B$6="Sí",1,0),1),IF(OR($A183="",$D183="",$E183=""),0,_xlpm.dias*$I183*_xlpm.factor))</f>
        <v/>
      </c>
      <c r="M183" s="33">
        <f>_xlfn.LET(_xlpm.inicio,MAX($D183,M$3),_xlpm.fin,MIN($E183,M$4),_xlpm.feriados,IF($H183="CO",FER_CO,FER_EC),_xlpm.dias,IF(_xlpm.inicio&gt;_xlpm.fin,0,NETWORKDAYS(_xlpm.inicio,_xlpm.fin,_xlpm.feriados)),_xlpm.factor,IF($G183="Probable",IF(Parametros!$B$6="Sí",1,0),1),IF(OR($A183="",$D183="",$E183=""),0,_xlpm.dias*$I183*_xlpm.factor))</f>
        <v/>
      </c>
      <c r="N183" s="33">
        <f>_xlfn.LET(_xlpm.inicio,MAX($D183,N$3),_xlpm.fin,MIN($E183,N$4),_xlpm.feriados,IF($H183="CO",FER_CO,FER_EC),_xlpm.dias,IF(_xlpm.inicio&gt;_xlpm.fin,0,NETWORKDAYS(_xlpm.inicio,_xlpm.fin,_xlpm.feriados)),_xlpm.factor,IF($G183="Probable",IF(Parametros!$B$6="Sí",1,0),1),IF(OR($A183="",$D183="",$E183=""),0,_xlpm.dias*$I183*_xlpm.factor))</f>
        <v/>
      </c>
      <c r="O183" s="33">
        <f>_xlfn.LET(_xlpm.inicio,MAX($D183,O$3),_xlpm.fin,MIN($E183,O$4),_xlpm.feriados,IF($H183="CO",FER_CO,FER_EC),_xlpm.dias,IF(_xlpm.inicio&gt;_xlpm.fin,0,NETWORKDAYS(_xlpm.inicio,_xlpm.fin,_xlpm.feriados)),_xlpm.factor,IF($G183="Probable",IF(Parametros!$B$6="Sí",1,0),1),IF(OR($A183="",$D183="",$E183=""),0,_xlpm.dias*$I183*_xlpm.factor))</f>
        <v/>
      </c>
      <c r="P183" s="34">
        <f>_xlfn.LET(_xlpm.horas,J183,_xlpm.feriados,IF($H183="CO",FER_CO,FER_EC),_xlpm.capacidad,NETWORKDAYS(J$3,J$4,_xlpm.feriados)*INDEX(Consultores!$C$6:$C$65,MATCH($A183,Consultores!$A$6:$A$65,0)),IF(_xlpm.horas=0,"",IFERROR(_xlpm.horas/_xlpm.capacidad,"")))</f>
        <v/>
      </c>
      <c r="Q183" s="34">
        <f>_xlfn.LET(_xlpm.horas,K183,_xlpm.feriados,IF($H183="CO",FER_CO,FER_EC),_xlpm.capacidad,NETWORKDAYS(K$3,K$4,_xlpm.feriados)*INDEX(Consultores!$C$6:$C$65,MATCH($A183,Consultores!$A$6:$A$65,0)),IF(_xlpm.horas=0,"",IFERROR(_xlpm.horas/_xlpm.capacidad,"")))</f>
        <v/>
      </c>
      <c r="R183" s="34">
        <f>_xlfn.LET(_xlpm.horas,L183,_xlpm.feriados,IF($H183="CO",FER_CO,FER_EC),_xlpm.capacidad,NETWORKDAYS(L$3,L$4,_xlpm.feriados)*INDEX(Consultores!$C$6:$C$65,MATCH($A183,Consultores!$A$6:$A$65,0)),IF(_xlpm.horas=0,"",IFERROR(_xlpm.horas/_xlpm.capacidad,"")))</f>
        <v/>
      </c>
      <c r="S183" s="34">
        <f>_xlfn.LET(_xlpm.horas,M183,_xlpm.feriados,IF($H183="CO",FER_CO,FER_EC),_xlpm.capacidad,NETWORKDAYS(M$3,M$4,_xlpm.feriados)*INDEX(Consultores!$C$6:$C$65,MATCH($A183,Consultores!$A$6:$A$65,0)),IF(_xlpm.horas=0,"",IFERROR(_xlpm.horas/_xlpm.capacidad,"")))</f>
        <v/>
      </c>
      <c r="T183" s="34">
        <f>_xlfn.LET(_xlpm.horas,N183,_xlpm.feriados,IF($H183="CO",FER_CO,FER_EC),_xlpm.capacidad,NETWORKDAYS(N$3,N$4,_xlpm.feriados)*INDEX(Consultores!$C$6:$C$65,MATCH($A183,Consultores!$A$6:$A$65,0)),IF(_xlpm.horas=0,"",IFERROR(_xlpm.horas/_xlpm.capacidad,"")))</f>
        <v/>
      </c>
      <c r="U183" s="34">
        <f>_xlfn.LET(_xlpm.horas,O183,_xlpm.feriados,IF($H183="CO",FER_CO,FER_EC),_xlpm.capacidad,NETWORKDAYS(O$3,O$4,_xlpm.feriados)*INDEX(Consultores!$C$6:$C$65,MATCH($A183,Consultores!$A$6:$A$65,0)),IF(_xlpm.horas=0,"",IFERROR(_xlpm.horas/_xlpm.capacidad,"")))</f>
        <v/>
      </c>
    </row>
    <row r="184">
      <c r="A184" s="25" t="n"/>
      <c r="B184" s="25" t="n"/>
      <c r="C184" s="25" t="n"/>
      <c r="D184" s="30" t="n"/>
      <c r="E184" s="30" t="n"/>
      <c r="F184" s="26" t="n"/>
      <c r="G184" s="25" t="n"/>
      <c r="H184" s="31">
        <f>IF($A184="","",IFERROR(INDEX(Consultores!$B$6:$B$65,MATCH($A184,Consultores!$A$6:$A$65,0)),"No existe"))</f>
        <v/>
      </c>
      <c r="I184" s="32">
        <f>IF($F184="",0,$F184/5)</f>
        <v/>
      </c>
      <c r="J184" s="33">
        <f>_xlfn.LET(_xlpm.inicio,MAX($D184,J$3),_xlpm.fin,MIN($E184,J$4),_xlpm.feriados,IF($H184="CO",FER_CO,FER_EC),_xlpm.dias,IF(_xlpm.inicio&gt;_xlpm.fin,0,NETWORKDAYS(_xlpm.inicio,_xlpm.fin,_xlpm.feriados)),_xlpm.factor,IF($G184="Probable",IF(Parametros!$B$6="Sí",1,0),1),IF(OR($A184="",$D184="",$E184=""),0,_xlpm.dias*$I184*_xlpm.factor))</f>
        <v/>
      </c>
      <c r="K184" s="33">
        <f>_xlfn.LET(_xlpm.inicio,MAX($D184,K$3),_xlpm.fin,MIN($E184,K$4),_xlpm.feriados,IF($H184="CO",FER_CO,FER_EC),_xlpm.dias,IF(_xlpm.inicio&gt;_xlpm.fin,0,NETWORKDAYS(_xlpm.inicio,_xlpm.fin,_xlpm.feriados)),_xlpm.factor,IF($G184="Probable",IF(Parametros!$B$6="Sí",1,0),1),IF(OR($A184="",$D184="",$E184=""),0,_xlpm.dias*$I184*_xlpm.factor))</f>
        <v/>
      </c>
      <c r="L184" s="33">
        <f>_xlfn.LET(_xlpm.inicio,MAX($D184,L$3),_xlpm.fin,MIN($E184,L$4),_xlpm.feriados,IF($H184="CO",FER_CO,FER_EC),_xlpm.dias,IF(_xlpm.inicio&gt;_xlpm.fin,0,NETWORKDAYS(_xlpm.inicio,_xlpm.fin,_xlpm.feriados)),_xlpm.factor,IF($G184="Probable",IF(Parametros!$B$6="Sí",1,0),1),IF(OR($A184="",$D184="",$E184=""),0,_xlpm.dias*$I184*_xlpm.factor))</f>
        <v/>
      </c>
      <c r="M184" s="33">
        <f>_xlfn.LET(_xlpm.inicio,MAX($D184,M$3),_xlpm.fin,MIN($E184,M$4),_xlpm.feriados,IF($H184="CO",FER_CO,FER_EC),_xlpm.dias,IF(_xlpm.inicio&gt;_xlpm.fin,0,NETWORKDAYS(_xlpm.inicio,_xlpm.fin,_xlpm.feriados)),_xlpm.factor,IF($G184="Probable",IF(Parametros!$B$6="Sí",1,0),1),IF(OR($A184="",$D184="",$E184=""),0,_xlpm.dias*$I184*_xlpm.factor))</f>
        <v/>
      </c>
      <c r="N184" s="33">
        <f>_xlfn.LET(_xlpm.inicio,MAX($D184,N$3),_xlpm.fin,MIN($E184,N$4),_xlpm.feriados,IF($H184="CO",FER_CO,FER_EC),_xlpm.dias,IF(_xlpm.inicio&gt;_xlpm.fin,0,NETWORKDAYS(_xlpm.inicio,_xlpm.fin,_xlpm.feriados)),_xlpm.factor,IF($G184="Probable",IF(Parametros!$B$6="Sí",1,0),1),IF(OR($A184="",$D184="",$E184=""),0,_xlpm.dias*$I184*_xlpm.factor))</f>
        <v/>
      </c>
      <c r="O184" s="33">
        <f>_xlfn.LET(_xlpm.inicio,MAX($D184,O$3),_xlpm.fin,MIN($E184,O$4),_xlpm.feriados,IF($H184="CO",FER_CO,FER_EC),_xlpm.dias,IF(_xlpm.inicio&gt;_xlpm.fin,0,NETWORKDAYS(_xlpm.inicio,_xlpm.fin,_xlpm.feriados)),_xlpm.factor,IF($G184="Probable",IF(Parametros!$B$6="Sí",1,0),1),IF(OR($A184="",$D184="",$E184=""),0,_xlpm.dias*$I184*_xlpm.factor))</f>
        <v/>
      </c>
      <c r="P184" s="34">
        <f>_xlfn.LET(_xlpm.horas,J184,_xlpm.feriados,IF($H184="CO",FER_CO,FER_EC),_xlpm.capacidad,NETWORKDAYS(J$3,J$4,_xlpm.feriados)*INDEX(Consultores!$C$6:$C$65,MATCH($A184,Consultores!$A$6:$A$65,0)),IF(_xlpm.horas=0,"",IFERROR(_xlpm.horas/_xlpm.capacidad,"")))</f>
        <v/>
      </c>
      <c r="Q184" s="34">
        <f>_xlfn.LET(_xlpm.horas,K184,_xlpm.feriados,IF($H184="CO",FER_CO,FER_EC),_xlpm.capacidad,NETWORKDAYS(K$3,K$4,_xlpm.feriados)*INDEX(Consultores!$C$6:$C$65,MATCH($A184,Consultores!$A$6:$A$65,0)),IF(_xlpm.horas=0,"",IFERROR(_xlpm.horas/_xlpm.capacidad,"")))</f>
        <v/>
      </c>
      <c r="R184" s="34">
        <f>_xlfn.LET(_xlpm.horas,L184,_xlpm.feriados,IF($H184="CO",FER_CO,FER_EC),_xlpm.capacidad,NETWORKDAYS(L$3,L$4,_xlpm.feriados)*INDEX(Consultores!$C$6:$C$65,MATCH($A184,Consultores!$A$6:$A$65,0)),IF(_xlpm.horas=0,"",IFERROR(_xlpm.horas/_xlpm.capacidad,"")))</f>
        <v/>
      </c>
      <c r="S184" s="34">
        <f>_xlfn.LET(_xlpm.horas,M184,_xlpm.feriados,IF($H184="CO",FER_CO,FER_EC),_xlpm.capacidad,NETWORKDAYS(M$3,M$4,_xlpm.feriados)*INDEX(Consultores!$C$6:$C$65,MATCH($A184,Consultores!$A$6:$A$65,0)),IF(_xlpm.horas=0,"",IFERROR(_xlpm.horas/_xlpm.capacidad,"")))</f>
        <v/>
      </c>
      <c r="T184" s="34">
        <f>_xlfn.LET(_xlpm.horas,N184,_xlpm.feriados,IF($H184="CO",FER_CO,FER_EC),_xlpm.capacidad,NETWORKDAYS(N$3,N$4,_xlpm.feriados)*INDEX(Consultores!$C$6:$C$65,MATCH($A184,Consultores!$A$6:$A$65,0)),IF(_xlpm.horas=0,"",IFERROR(_xlpm.horas/_xlpm.capacidad,"")))</f>
        <v/>
      </c>
      <c r="U184" s="34">
        <f>_xlfn.LET(_xlpm.horas,O184,_xlpm.feriados,IF($H184="CO",FER_CO,FER_EC),_xlpm.capacidad,NETWORKDAYS(O$3,O$4,_xlpm.feriados)*INDEX(Consultores!$C$6:$C$65,MATCH($A184,Consultores!$A$6:$A$65,0)),IF(_xlpm.horas=0,"",IFERROR(_xlpm.horas/_xlpm.capacidad,"")))</f>
        <v/>
      </c>
    </row>
    <row r="185">
      <c r="A185" s="25" t="n"/>
      <c r="B185" s="25" t="n"/>
      <c r="C185" s="25" t="n"/>
      <c r="D185" s="30" t="n"/>
      <c r="E185" s="30" t="n"/>
      <c r="F185" s="26" t="n"/>
      <c r="G185" s="25" t="n"/>
      <c r="H185" s="31">
        <f>IF($A185="","",IFERROR(INDEX(Consultores!$B$6:$B$65,MATCH($A185,Consultores!$A$6:$A$65,0)),"No existe"))</f>
        <v/>
      </c>
      <c r="I185" s="32">
        <f>IF($F185="",0,$F185/5)</f>
        <v/>
      </c>
      <c r="J185" s="33">
        <f>_xlfn.LET(_xlpm.inicio,MAX($D185,J$3),_xlpm.fin,MIN($E185,J$4),_xlpm.feriados,IF($H185="CO",FER_CO,FER_EC),_xlpm.dias,IF(_xlpm.inicio&gt;_xlpm.fin,0,NETWORKDAYS(_xlpm.inicio,_xlpm.fin,_xlpm.feriados)),_xlpm.factor,IF($G185="Probable",IF(Parametros!$B$6="Sí",1,0),1),IF(OR($A185="",$D185="",$E185=""),0,_xlpm.dias*$I185*_xlpm.factor))</f>
        <v/>
      </c>
      <c r="K185" s="33">
        <f>_xlfn.LET(_xlpm.inicio,MAX($D185,K$3),_xlpm.fin,MIN($E185,K$4),_xlpm.feriados,IF($H185="CO",FER_CO,FER_EC),_xlpm.dias,IF(_xlpm.inicio&gt;_xlpm.fin,0,NETWORKDAYS(_xlpm.inicio,_xlpm.fin,_xlpm.feriados)),_xlpm.factor,IF($G185="Probable",IF(Parametros!$B$6="Sí",1,0),1),IF(OR($A185="",$D185="",$E185=""),0,_xlpm.dias*$I185*_xlpm.factor))</f>
        <v/>
      </c>
      <c r="L185" s="33">
        <f>_xlfn.LET(_xlpm.inicio,MAX($D185,L$3),_xlpm.fin,MIN($E185,L$4),_xlpm.feriados,IF($H185="CO",FER_CO,FER_EC),_xlpm.dias,IF(_xlpm.inicio&gt;_xlpm.fin,0,NETWORKDAYS(_xlpm.inicio,_xlpm.fin,_xlpm.feriados)),_xlpm.factor,IF($G185="Probable",IF(Parametros!$B$6="Sí",1,0),1),IF(OR($A185="",$D185="",$E185=""),0,_xlpm.dias*$I185*_xlpm.factor))</f>
        <v/>
      </c>
      <c r="M185" s="33">
        <f>_xlfn.LET(_xlpm.inicio,MAX($D185,M$3),_xlpm.fin,MIN($E185,M$4),_xlpm.feriados,IF($H185="CO",FER_CO,FER_EC),_xlpm.dias,IF(_xlpm.inicio&gt;_xlpm.fin,0,NETWORKDAYS(_xlpm.inicio,_xlpm.fin,_xlpm.feriados)),_xlpm.factor,IF($G185="Probable",IF(Parametros!$B$6="Sí",1,0),1),IF(OR($A185="",$D185="",$E185=""),0,_xlpm.dias*$I185*_xlpm.factor))</f>
        <v/>
      </c>
      <c r="N185" s="33">
        <f>_xlfn.LET(_xlpm.inicio,MAX($D185,N$3),_xlpm.fin,MIN($E185,N$4),_xlpm.feriados,IF($H185="CO",FER_CO,FER_EC),_xlpm.dias,IF(_xlpm.inicio&gt;_xlpm.fin,0,NETWORKDAYS(_xlpm.inicio,_xlpm.fin,_xlpm.feriados)),_xlpm.factor,IF($G185="Probable",IF(Parametros!$B$6="Sí",1,0),1),IF(OR($A185="",$D185="",$E185=""),0,_xlpm.dias*$I185*_xlpm.factor))</f>
        <v/>
      </c>
      <c r="O185" s="33">
        <f>_xlfn.LET(_xlpm.inicio,MAX($D185,O$3),_xlpm.fin,MIN($E185,O$4),_xlpm.feriados,IF($H185="CO",FER_CO,FER_EC),_xlpm.dias,IF(_xlpm.inicio&gt;_xlpm.fin,0,NETWORKDAYS(_xlpm.inicio,_xlpm.fin,_xlpm.feriados)),_xlpm.factor,IF($G185="Probable",IF(Parametros!$B$6="Sí",1,0),1),IF(OR($A185="",$D185="",$E185=""),0,_xlpm.dias*$I185*_xlpm.factor))</f>
        <v/>
      </c>
      <c r="P185" s="34">
        <f>_xlfn.LET(_xlpm.horas,J185,_xlpm.feriados,IF($H185="CO",FER_CO,FER_EC),_xlpm.capacidad,NETWORKDAYS(J$3,J$4,_xlpm.feriados)*INDEX(Consultores!$C$6:$C$65,MATCH($A185,Consultores!$A$6:$A$65,0)),IF(_xlpm.horas=0,"",IFERROR(_xlpm.horas/_xlpm.capacidad,"")))</f>
        <v/>
      </c>
      <c r="Q185" s="34">
        <f>_xlfn.LET(_xlpm.horas,K185,_xlpm.feriados,IF($H185="CO",FER_CO,FER_EC),_xlpm.capacidad,NETWORKDAYS(K$3,K$4,_xlpm.feriados)*INDEX(Consultores!$C$6:$C$65,MATCH($A185,Consultores!$A$6:$A$65,0)),IF(_xlpm.horas=0,"",IFERROR(_xlpm.horas/_xlpm.capacidad,"")))</f>
        <v/>
      </c>
      <c r="R185" s="34">
        <f>_xlfn.LET(_xlpm.horas,L185,_xlpm.feriados,IF($H185="CO",FER_CO,FER_EC),_xlpm.capacidad,NETWORKDAYS(L$3,L$4,_xlpm.feriados)*INDEX(Consultores!$C$6:$C$65,MATCH($A185,Consultores!$A$6:$A$65,0)),IF(_xlpm.horas=0,"",IFERROR(_xlpm.horas/_xlpm.capacidad,"")))</f>
        <v/>
      </c>
      <c r="S185" s="34">
        <f>_xlfn.LET(_xlpm.horas,M185,_xlpm.feriados,IF($H185="CO",FER_CO,FER_EC),_xlpm.capacidad,NETWORKDAYS(M$3,M$4,_xlpm.feriados)*INDEX(Consultores!$C$6:$C$65,MATCH($A185,Consultores!$A$6:$A$65,0)),IF(_xlpm.horas=0,"",IFERROR(_xlpm.horas/_xlpm.capacidad,"")))</f>
        <v/>
      </c>
      <c r="T185" s="34">
        <f>_xlfn.LET(_xlpm.horas,N185,_xlpm.feriados,IF($H185="CO",FER_CO,FER_EC),_xlpm.capacidad,NETWORKDAYS(N$3,N$4,_xlpm.feriados)*INDEX(Consultores!$C$6:$C$65,MATCH($A185,Consultores!$A$6:$A$65,0)),IF(_xlpm.horas=0,"",IFERROR(_xlpm.horas/_xlpm.capacidad,"")))</f>
        <v/>
      </c>
      <c r="U185" s="34">
        <f>_xlfn.LET(_xlpm.horas,O185,_xlpm.feriados,IF($H185="CO",FER_CO,FER_EC),_xlpm.capacidad,NETWORKDAYS(O$3,O$4,_xlpm.feriados)*INDEX(Consultores!$C$6:$C$65,MATCH($A185,Consultores!$A$6:$A$65,0)),IF(_xlpm.horas=0,"",IFERROR(_xlpm.horas/_xlpm.capacidad,"")))</f>
        <v/>
      </c>
    </row>
    <row r="186">
      <c r="A186" s="25" t="n"/>
      <c r="B186" s="25" t="n"/>
      <c r="C186" s="25" t="n"/>
      <c r="D186" s="30" t="n"/>
      <c r="E186" s="30" t="n"/>
      <c r="F186" s="26" t="n"/>
      <c r="G186" s="25" t="n"/>
      <c r="H186" s="31">
        <f>IF($A186="","",IFERROR(INDEX(Consultores!$B$6:$B$65,MATCH($A186,Consultores!$A$6:$A$65,0)),"No existe"))</f>
        <v/>
      </c>
      <c r="I186" s="32">
        <f>IF($F186="",0,$F186/5)</f>
        <v/>
      </c>
      <c r="J186" s="33">
        <f>_xlfn.LET(_xlpm.inicio,MAX($D186,J$3),_xlpm.fin,MIN($E186,J$4),_xlpm.feriados,IF($H186="CO",FER_CO,FER_EC),_xlpm.dias,IF(_xlpm.inicio&gt;_xlpm.fin,0,NETWORKDAYS(_xlpm.inicio,_xlpm.fin,_xlpm.feriados)),_xlpm.factor,IF($G186="Probable",IF(Parametros!$B$6="Sí",1,0),1),IF(OR($A186="",$D186="",$E186=""),0,_xlpm.dias*$I186*_xlpm.factor))</f>
        <v/>
      </c>
      <c r="K186" s="33">
        <f>_xlfn.LET(_xlpm.inicio,MAX($D186,K$3),_xlpm.fin,MIN($E186,K$4),_xlpm.feriados,IF($H186="CO",FER_CO,FER_EC),_xlpm.dias,IF(_xlpm.inicio&gt;_xlpm.fin,0,NETWORKDAYS(_xlpm.inicio,_xlpm.fin,_xlpm.feriados)),_xlpm.factor,IF($G186="Probable",IF(Parametros!$B$6="Sí",1,0),1),IF(OR($A186="",$D186="",$E186=""),0,_xlpm.dias*$I186*_xlpm.factor))</f>
        <v/>
      </c>
      <c r="L186" s="33">
        <f>_xlfn.LET(_xlpm.inicio,MAX($D186,L$3),_xlpm.fin,MIN($E186,L$4),_xlpm.feriados,IF($H186="CO",FER_CO,FER_EC),_xlpm.dias,IF(_xlpm.inicio&gt;_xlpm.fin,0,NETWORKDAYS(_xlpm.inicio,_xlpm.fin,_xlpm.feriados)),_xlpm.factor,IF($G186="Probable",IF(Parametros!$B$6="Sí",1,0),1),IF(OR($A186="",$D186="",$E186=""),0,_xlpm.dias*$I186*_xlpm.factor))</f>
        <v/>
      </c>
      <c r="M186" s="33">
        <f>_xlfn.LET(_xlpm.inicio,MAX($D186,M$3),_xlpm.fin,MIN($E186,M$4),_xlpm.feriados,IF($H186="CO",FER_CO,FER_EC),_xlpm.dias,IF(_xlpm.inicio&gt;_xlpm.fin,0,NETWORKDAYS(_xlpm.inicio,_xlpm.fin,_xlpm.feriados)),_xlpm.factor,IF($G186="Probable",IF(Parametros!$B$6="Sí",1,0),1),IF(OR($A186="",$D186="",$E186=""),0,_xlpm.dias*$I186*_xlpm.factor))</f>
        <v/>
      </c>
      <c r="N186" s="33">
        <f>_xlfn.LET(_xlpm.inicio,MAX($D186,N$3),_xlpm.fin,MIN($E186,N$4),_xlpm.feriados,IF($H186="CO",FER_CO,FER_EC),_xlpm.dias,IF(_xlpm.inicio&gt;_xlpm.fin,0,NETWORKDAYS(_xlpm.inicio,_xlpm.fin,_xlpm.feriados)),_xlpm.factor,IF($G186="Probable",IF(Parametros!$B$6="Sí",1,0),1),IF(OR($A186="",$D186="",$E186=""),0,_xlpm.dias*$I186*_xlpm.factor))</f>
        <v/>
      </c>
      <c r="O186" s="33">
        <f>_xlfn.LET(_xlpm.inicio,MAX($D186,O$3),_xlpm.fin,MIN($E186,O$4),_xlpm.feriados,IF($H186="CO",FER_CO,FER_EC),_xlpm.dias,IF(_xlpm.inicio&gt;_xlpm.fin,0,NETWORKDAYS(_xlpm.inicio,_xlpm.fin,_xlpm.feriados)),_xlpm.factor,IF($G186="Probable",IF(Parametros!$B$6="Sí",1,0),1),IF(OR($A186="",$D186="",$E186=""),0,_xlpm.dias*$I186*_xlpm.factor))</f>
        <v/>
      </c>
      <c r="P186" s="34">
        <f>_xlfn.LET(_xlpm.horas,J186,_xlpm.feriados,IF($H186="CO",FER_CO,FER_EC),_xlpm.capacidad,NETWORKDAYS(J$3,J$4,_xlpm.feriados)*INDEX(Consultores!$C$6:$C$65,MATCH($A186,Consultores!$A$6:$A$65,0)),IF(_xlpm.horas=0,"",IFERROR(_xlpm.horas/_xlpm.capacidad,"")))</f>
        <v/>
      </c>
      <c r="Q186" s="34">
        <f>_xlfn.LET(_xlpm.horas,K186,_xlpm.feriados,IF($H186="CO",FER_CO,FER_EC),_xlpm.capacidad,NETWORKDAYS(K$3,K$4,_xlpm.feriados)*INDEX(Consultores!$C$6:$C$65,MATCH($A186,Consultores!$A$6:$A$65,0)),IF(_xlpm.horas=0,"",IFERROR(_xlpm.horas/_xlpm.capacidad,"")))</f>
        <v/>
      </c>
      <c r="R186" s="34">
        <f>_xlfn.LET(_xlpm.horas,L186,_xlpm.feriados,IF($H186="CO",FER_CO,FER_EC),_xlpm.capacidad,NETWORKDAYS(L$3,L$4,_xlpm.feriados)*INDEX(Consultores!$C$6:$C$65,MATCH($A186,Consultores!$A$6:$A$65,0)),IF(_xlpm.horas=0,"",IFERROR(_xlpm.horas/_xlpm.capacidad,"")))</f>
        <v/>
      </c>
      <c r="S186" s="34">
        <f>_xlfn.LET(_xlpm.horas,M186,_xlpm.feriados,IF($H186="CO",FER_CO,FER_EC),_xlpm.capacidad,NETWORKDAYS(M$3,M$4,_xlpm.feriados)*INDEX(Consultores!$C$6:$C$65,MATCH($A186,Consultores!$A$6:$A$65,0)),IF(_xlpm.horas=0,"",IFERROR(_xlpm.horas/_xlpm.capacidad,"")))</f>
        <v/>
      </c>
      <c r="T186" s="34">
        <f>_xlfn.LET(_xlpm.horas,N186,_xlpm.feriados,IF($H186="CO",FER_CO,FER_EC),_xlpm.capacidad,NETWORKDAYS(N$3,N$4,_xlpm.feriados)*INDEX(Consultores!$C$6:$C$65,MATCH($A186,Consultores!$A$6:$A$65,0)),IF(_xlpm.horas=0,"",IFERROR(_xlpm.horas/_xlpm.capacidad,"")))</f>
        <v/>
      </c>
      <c r="U186" s="34">
        <f>_xlfn.LET(_xlpm.horas,O186,_xlpm.feriados,IF($H186="CO",FER_CO,FER_EC),_xlpm.capacidad,NETWORKDAYS(O$3,O$4,_xlpm.feriados)*INDEX(Consultores!$C$6:$C$65,MATCH($A186,Consultores!$A$6:$A$65,0)),IF(_xlpm.horas=0,"",IFERROR(_xlpm.horas/_xlpm.capacidad,"")))</f>
        <v/>
      </c>
    </row>
    <row r="187">
      <c r="A187" s="25" t="n"/>
      <c r="B187" s="25" t="n"/>
      <c r="C187" s="25" t="n"/>
      <c r="D187" s="30" t="n"/>
      <c r="E187" s="30" t="n"/>
      <c r="F187" s="26" t="n"/>
      <c r="G187" s="25" t="n"/>
      <c r="H187" s="31">
        <f>IF($A187="","",IFERROR(INDEX(Consultores!$B$6:$B$65,MATCH($A187,Consultores!$A$6:$A$65,0)),"No existe"))</f>
        <v/>
      </c>
      <c r="I187" s="32">
        <f>IF($F187="",0,$F187/5)</f>
        <v/>
      </c>
      <c r="J187" s="33">
        <f>_xlfn.LET(_xlpm.inicio,MAX($D187,J$3),_xlpm.fin,MIN($E187,J$4),_xlpm.feriados,IF($H187="CO",FER_CO,FER_EC),_xlpm.dias,IF(_xlpm.inicio&gt;_xlpm.fin,0,NETWORKDAYS(_xlpm.inicio,_xlpm.fin,_xlpm.feriados)),_xlpm.factor,IF($G187="Probable",IF(Parametros!$B$6="Sí",1,0),1),IF(OR($A187="",$D187="",$E187=""),0,_xlpm.dias*$I187*_xlpm.factor))</f>
        <v/>
      </c>
      <c r="K187" s="33">
        <f>_xlfn.LET(_xlpm.inicio,MAX($D187,K$3),_xlpm.fin,MIN($E187,K$4),_xlpm.feriados,IF($H187="CO",FER_CO,FER_EC),_xlpm.dias,IF(_xlpm.inicio&gt;_xlpm.fin,0,NETWORKDAYS(_xlpm.inicio,_xlpm.fin,_xlpm.feriados)),_xlpm.factor,IF($G187="Probable",IF(Parametros!$B$6="Sí",1,0),1),IF(OR($A187="",$D187="",$E187=""),0,_xlpm.dias*$I187*_xlpm.factor))</f>
        <v/>
      </c>
      <c r="L187" s="33">
        <f>_xlfn.LET(_xlpm.inicio,MAX($D187,L$3),_xlpm.fin,MIN($E187,L$4),_xlpm.feriados,IF($H187="CO",FER_CO,FER_EC),_xlpm.dias,IF(_xlpm.inicio&gt;_xlpm.fin,0,NETWORKDAYS(_xlpm.inicio,_xlpm.fin,_xlpm.feriados)),_xlpm.factor,IF($G187="Probable",IF(Parametros!$B$6="Sí",1,0),1),IF(OR($A187="",$D187="",$E187=""),0,_xlpm.dias*$I187*_xlpm.factor))</f>
        <v/>
      </c>
      <c r="M187" s="33">
        <f>_xlfn.LET(_xlpm.inicio,MAX($D187,M$3),_xlpm.fin,MIN($E187,M$4),_xlpm.feriados,IF($H187="CO",FER_CO,FER_EC),_xlpm.dias,IF(_xlpm.inicio&gt;_xlpm.fin,0,NETWORKDAYS(_xlpm.inicio,_xlpm.fin,_xlpm.feriados)),_xlpm.factor,IF($G187="Probable",IF(Parametros!$B$6="Sí",1,0),1),IF(OR($A187="",$D187="",$E187=""),0,_xlpm.dias*$I187*_xlpm.factor))</f>
        <v/>
      </c>
      <c r="N187" s="33">
        <f>_xlfn.LET(_xlpm.inicio,MAX($D187,N$3),_xlpm.fin,MIN($E187,N$4),_xlpm.feriados,IF($H187="CO",FER_CO,FER_EC),_xlpm.dias,IF(_xlpm.inicio&gt;_xlpm.fin,0,NETWORKDAYS(_xlpm.inicio,_xlpm.fin,_xlpm.feriados)),_xlpm.factor,IF($G187="Probable",IF(Parametros!$B$6="Sí",1,0),1),IF(OR($A187="",$D187="",$E187=""),0,_xlpm.dias*$I187*_xlpm.factor))</f>
        <v/>
      </c>
      <c r="O187" s="33">
        <f>_xlfn.LET(_xlpm.inicio,MAX($D187,O$3),_xlpm.fin,MIN($E187,O$4),_xlpm.feriados,IF($H187="CO",FER_CO,FER_EC),_xlpm.dias,IF(_xlpm.inicio&gt;_xlpm.fin,0,NETWORKDAYS(_xlpm.inicio,_xlpm.fin,_xlpm.feriados)),_xlpm.factor,IF($G187="Probable",IF(Parametros!$B$6="Sí",1,0),1),IF(OR($A187="",$D187="",$E187=""),0,_xlpm.dias*$I187*_xlpm.factor))</f>
        <v/>
      </c>
      <c r="P187" s="34">
        <f>_xlfn.LET(_xlpm.horas,J187,_xlpm.feriados,IF($H187="CO",FER_CO,FER_EC),_xlpm.capacidad,NETWORKDAYS(J$3,J$4,_xlpm.feriados)*INDEX(Consultores!$C$6:$C$65,MATCH($A187,Consultores!$A$6:$A$65,0)),IF(_xlpm.horas=0,"",IFERROR(_xlpm.horas/_xlpm.capacidad,"")))</f>
        <v/>
      </c>
      <c r="Q187" s="34">
        <f>_xlfn.LET(_xlpm.horas,K187,_xlpm.feriados,IF($H187="CO",FER_CO,FER_EC),_xlpm.capacidad,NETWORKDAYS(K$3,K$4,_xlpm.feriados)*INDEX(Consultores!$C$6:$C$65,MATCH($A187,Consultores!$A$6:$A$65,0)),IF(_xlpm.horas=0,"",IFERROR(_xlpm.horas/_xlpm.capacidad,"")))</f>
        <v/>
      </c>
      <c r="R187" s="34">
        <f>_xlfn.LET(_xlpm.horas,L187,_xlpm.feriados,IF($H187="CO",FER_CO,FER_EC),_xlpm.capacidad,NETWORKDAYS(L$3,L$4,_xlpm.feriados)*INDEX(Consultores!$C$6:$C$65,MATCH($A187,Consultores!$A$6:$A$65,0)),IF(_xlpm.horas=0,"",IFERROR(_xlpm.horas/_xlpm.capacidad,"")))</f>
        <v/>
      </c>
      <c r="S187" s="34">
        <f>_xlfn.LET(_xlpm.horas,M187,_xlpm.feriados,IF($H187="CO",FER_CO,FER_EC),_xlpm.capacidad,NETWORKDAYS(M$3,M$4,_xlpm.feriados)*INDEX(Consultores!$C$6:$C$65,MATCH($A187,Consultores!$A$6:$A$65,0)),IF(_xlpm.horas=0,"",IFERROR(_xlpm.horas/_xlpm.capacidad,"")))</f>
        <v/>
      </c>
      <c r="T187" s="34">
        <f>_xlfn.LET(_xlpm.horas,N187,_xlpm.feriados,IF($H187="CO",FER_CO,FER_EC),_xlpm.capacidad,NETWORKDAYS(N$3,N$4,_xlpm.feriados)*INDEX(Consultores!$C$6:$C$65,MATCH($A187,Consultores!$A$6:$A$65,0)),IF(_xlpm.horas=0,"",IFERROR(_xlpm.horas/_xlpm.capacidad,"")))</f>
        <v/>
      </c>
      <c r="U187" s="34">
        <f>_xlfn.LET(_xlpm.horas,O187,_xlpm.feriados,IF($H187="CO",FER_CO,FER_EC),_xlpm.capacidad,NETWORKDAYS(O$3,O$4,_xlpm.feriados)*INDEX(Consultores!$C$6:$C$65,MATCH($A187,Consultores!$A$6:$A$65,0)),IF(_xlpm.horas=0,"",IFERROR(_xlpm.horas/_xlpm.capacidad,"")))</f>
        <v/>
      </c>
    </row>
    <row r="188">
      <c r="A188" s="25" t="n"/>
      <c r="B188" s="25" t="n"/>
      <c r="C188" s="25" t="n"/>
      <c r="D188" s="30" t="n"/>
      <c r="E188" s="30" t="n"/>
      <c r="F188" s="26" t="n"/>
      <c r="G188" s="25" t="n"/>
      <c r="H188" s="31">
        <f>IF($A188="","",IFERROR(INDEX(Consultores!$B$6:$B$65,MATCH($A188,Consultores!$A$6:$A$65,0)),"No existe"))</f>
        <v/>
      </c>
      <c r="I188" s="32">
        <f>IF($F188="",0,$F188/5)</f>
        <v/>
      </c>
      <c r="J188" s="33">
        <f>_xlfn.LET(_xlpm.inicio,MAX($D188,J$3),_xlpm.fin,MIN($E188,J$4),_xlpm.feriados,IF($H188="CO",FER_CO,FER_EC),_xlpm.dias,IF(_xlpm.inicio&gt;_xlpm.fin,0,NETWORKDAYS(_xlpm.inicio,_xlpm.fin,_xlpm.feriados)),_xlpm.factor,IF($G188="Probable",IF(Parametros!$B$6="Sí",1,0),1),IF(OR($A188="",$D188="",$E188=""),0,_xlpm.dias*$I188*_xlpm.factor))</f>
        <v/>
      </c>
      <c r="K188" s="33">
        <f>_xlfn.LET(_xlpm.inicio,MAX($D188,K$3),_xlpm.fin,MIN($E188,K$4),_xlpm.feriados,IF($H188="CO",FER_CO,FER_EC),_xlpm.dias,IF(_xlpm.inicio&gt;_xlpm.fin,0,NETWORKDAYS(_xlpm.inicio,_xlpm.fin,_xlpm.feriados)),_xlpm.factor,IF($G188="Probable",IF(Parametros!$B$6="Sí",1,0),1),IF(OR($A188="",$D188="",$E188=""),0,_xlpm.dias*$I188*_xlpm.factor))</f>
        <v/>
      </c>
      <c r="L188" s="33">
        <f>_xlfn.LET(_xlpm.inicio,MAX($D188,L$3),_xlpm.fin,MIN($E188,L$4),_xlpm.feriados,IF($H188="CO",FER_CO,FER_EC),_xlpm.dias,IF(_xlpm.inicio&gt;_xlpm.fin,0,NETWORKDAYS(_xlpm.inicio,_xlpm.fin,_xlpm.feriados)),_xlpm.factor,IF($G188="Probable",IF(Parametros!$B$6="Sí",1,0),1),IF(OR($A188="",$D188="",$E188=""),0,_xlpm.dias*$I188*_xlpm.factor))</f>
        <v/>
      </c>
      <c r="M188" s="33">
        <f>_xlfn.LET(_xlpm.inicio,MAX($D188,M$3),_xlpm.fin,MIN($E188,M$4),_xlpm.feriados,IF($H188="CO",FER_CO,FER_EC),_xlpm.dias,IF(_xlpm.inicio&gt;_xlpm.fin,0,NETWORKDAYS(_xlpm.inicio,_xlpm.fin,_xlpm.feriados)),_xlpm.factor,IF($G188="Probable",IF(Parametros!$B$6="Sí",1,0),1),IF(OR($A188="",$D188="",$E188=""),0,_xlpm.dias*$I188*_xlpm.factor))</f>
        <v/>
      </c>
      <c r="N188" s="33">
        <f>_xlfn.LET(_xlpm.inicio,MAX($D188,N$3),_xlpm.fin,MIN($E188,N$4),_xlpm.feriados,IF($H188="CO",FER_CO,FER_EC),_xlpm.dias,IF(_xlpm.inicio&gt;_xlpm.fin,0,NETWORKDAYS(_xlpm.inicio,_xlpm.fin,_xlpm.feriados)),_xlpm.factor,IF($G188="Probable",IF(Parametros!$B$6="Sí",1,0),1),IF(OR($A188="",$D188="",$E188=""),0,_xlpm.dias*$I188*_xlpm.factor))</f>
        <v/>
      </c>
      <c r="O188" s="33">
        <f>_xlfn.LET(_xlpm.inicio,MAX($D188,O$3),_xlpm.fin,MIN($E188,O$4),_xlpm.feriados,IF($H188="CO",FER_CO,FER_EC),_xlpm.dias,IF(_xlpm.inicio&gt;_xlpm.fin,0,NETWORKDAYS(_xlpm.inicio,_xlpm.fin,_xlpm.feriados)),_xlpm.factor,IF($G188="Probable",IF(Parametros!$B$6="Sí",1,0),1),IF(OR($A188="",$D188="",$E188=""),0,_xlpm.dias*$I188*_xlpm.factor))</f>
        <v/>
      </c>
      <c r="P188" s="34">
        <f>_xlfn.LET(_xlpm.horas,J188,_xlpm.feriados,IF($H188="CO",FER_CO,FER_EC),_xlpm.capacidad,NETWORKDAYS(J$3,J$4,_xlpm.feriados)*INDEX(Consultores!$C$6:$C$65,MATCH($A188,Consultores!$A$6:$A$65,0)),IF(_xlpm.horas=0,"",IFERROR(_xlpm.horas/_xlpm.capacidad,"")))</f>
        <v/>
      </c>
      <c r="Q188" s="34">
        <f>_xlfn.LET(_xlpm.horas,K188,_xlpm.feriados,IF($H188="CO",FER_CO,FER_EC),_xlpm.capacidad,NETWORKDAYS(K$3,K$4,_xlpm.feriados)*INDEX(Consultores!$C$6:$C$65,MATCH($A188,Consultores!$A$6:$A$65,0)),IF(_xlpm.horas=0,"",IFERROR(_xlpm.horas/_xlpm.capacidad,"")))</f>
        <v/>
      </c>
      <c r="R188" s="34">
        <f>_xlfn.LET(_xlpm.horas,L188,_xlpm.feriados,IF($H188="CO",FER_CO,FER_EC),_xlpm.capacidad,NETWORKDAYS(L$3,L$4,_xlpm.feriados)*INDEX(Consultores!$C$6:$C$65,MATCH($A188,Consultores!$A$6:$A$65,0)),IF(_xlpm.horas=0,"",IFERROR(_xlpm.horas/_xlpm.capacidad,"")))</f>
        <v/>
      </c>
      <c r="S188" s="34">
        <f>_xlfn.LET(_xlpm.horas,M188,_xlpm.feriados,IF($H188="CO",FER_CO,FER_EC),_xlpm.capacidad,NETWORKDAYS(M$3,M$4,_xlpm.feriados)*INDEX(Consultores!$C$6:$C$65,MATCH($A188,Consultores!$A$6:$A$65,0)),IF(_xlpm.horas=0,"",IFERROR(_xlpm.horas/_xlpm.capacidad,"")))</f>
        <v/>
      </c>
      <c r="T188" s="34">
        <f>_xlfn.LET(_xlpm.horas,N188,_xlpm.feriados,IF($H188="CO",FER_CO,FER_EC),_xlpm.capacidad,NETWORKDAYS(N$3,N$4,_xlpm.feriados)*INDEX(Consultores!$C$6:$C$65,MATCH($A188,Consultores!$A$6:$A$65,0)),IF(_xlpm.horas=0,"",IFERROR(_xlpm.horas/_xlpm.capacidad,"")))</f>
        <v/>
      </c>
      <c r="U188" s="34">
        <f>_xlfn.LET(_xlpm.horas,O188,_xlpm.feriados,IF($H188="CO",FER_CO,FER_EC),_xlpm.capacidad,NETWORKDAYS(O$3,O$4,_xlpm.feriados)*INDEX(Consultores!$C$6:$C$65,MATCH($A188,Consultores!$A$6:$A$65,0)),IF(_xlpm.horas=0,"",IFERROR(_xlpm.horas/_xlpm.capacidad,"")))</f>
        <v/>
      </c>
    </row>
    <row r="189">
      <c r="A189" s="25" t="n"/>
      <c r="B189" s="25" t="n"/>
      <c r="C189" s="25" t="n"/>
      <c r="D189" s="30" t="n"/>
      <c r="E189" s="30" t="n"/>
      <c r="F189" s="26" t="n"/>
      <c r="G189" s="25" t="n"/>
      <c r="H189" s="31">
        <f>IF($A189="","",IFERROR(INDEX(Consultores!$B$6:$B$65,MATCH($A189,Consultores!$A$6:$A$65,0)),"No existe"))</f>
        <v/>
      </c>
      <c r="I189" s="32">
        <f>IF($F189="",0,$F189/5)</f>
        <v/>
      </c>
      <c r="J189" s="33">
        <f>_xlfn.LET(_xlpm.inicio,MAX($D189,J$3),_xlpm.fin,MIN($E189,J$4),_xlpm.feriados,IF($H189="CO",FER_CO,FER_EC),_xlpm.dias,IF(_xlpm.inicio&gt;_xlpm.fin,0,NETWORKDAYS(_xlpm.inicio,_xlpm.fin,_xlpm.feriados)),_xlpm.factor,IF($G189="Probable",IF(Parametros!$B$6="Sí",1,0),1),IF(OR($A189="",$D189="",$E189=""),0,_xlpm.dias*$I189*_xlpm.factor))</f>
        <v/>
      </c>
      <c r="K189" s="33">
        <f>_xlfn.LET(_xlpm.inicio,MAX($D189,K$3),_xlpm.fin,MIN($E189,K$4),_xlpm.feriados,IF($H189="CO",FER_CO,FER_EC),_xlpm.dias,IF(_xlpm.inicio&gt;_xlpm.fin,0,NETWORKDAYS(_xlpm.inicio,_xlpm.fin,_xlpm.feriados)),_xlpm.factor,IF($G189="Probable",IF(Parametros!$B$6="Sí",1,0),1),IF(OR($A189="",$D189="",$E189=""),0,_xlpm.dias*$I189*_xlpm.factor))</f>
        <v/>
      </c>
      <c r="L189" s="33">
        <f>_xlfn.LET(_xlpm.inicio,MAX($D189,L$3),_xlpm.fin,MIN($E189,L$4),_xlpm.feriados,IF($H189="CO",FER_CO,FER_EC),_xlpm.dias,IF(_xlpm.inicio&gt;_xlpm.fin,0,NETWORKDAYS(_xlpm.inicio,_xlpm.fin,_xlpm.feriados)),_xlpm.factor,IF($G189="Probable",IF(Parametros!$B$6="Sí",1,0),1),IF(OR($A189="",$D189="",$E189=""),0,_xlpm.dias*$I189*_xlpm.factor))</f>
        <v/>
      </c>
      <c r="M189" s="33">
        <f>_xlfn.LET(_xlpm.inicio,MAX($D189,M$3),_xlpm.fin,MIN($E189,M$4),_xlpm.feriados,IF($H189="CO",FER_CO,FER_EC),_xlpm.dias,IF(_xlpm.inicio&gt;_xlpm.fin,0,NETWORKDAYS(_xlpm.inicio,_xlpm.fin,_xlpm.feriados)),_xlpm.factor,IF($G189="Probable",IF(Parametros!$B$6="Sí",1,0),1),IF(OR($A189="",$D189="",$E189=""),0,_xlpm.dias*$I189*_xlpm.factor))</f>
        <v/>
      </c>
      <c r="N189" s="33">
        <f>_xlfn.LET(_xlpm.inicio,MAX($D189,N$3),_xlpm.fin,MIN($E189,N$4),_xlpm.feriados,IF($H189="CO",FER_CO,FER_EC),_xlpm.dias,IF(_xlpm.inicio&gt;_xlpm.fin,0,NETWORKDAYS(_xlpm.inicio,_xlpm.fin,_xlpm.feriados)),_xlpm.factor,IF($G189="Probable",IF(Parametros!$B$6="Sí",1,0),1),IF(OR($A189="",$D189="",$E189=""),0,_xlpm.dias*$I189*_xlpm.factor))</f>
        <v/>
      </c>
      <c r="O189" s="33">
        <f>_xlfn.LET(_xlpm.inicio,MAX($D189,O$3),_xlpm.fin,MIN($E189,O$4),_xlpm.feriados,IF($H189="CO",FER_CO,FER_EC),_xlpm.dias,IF(_xlpm.inicio&gt;_xlpm.fin,0,NETWORKDAYS(_xlpm.inicio,_xlpm.fin,_xlpm.feriados)),_xlpm.factor,IF($G189="Probable",IF(Parametros!$B$6="Sí",1,0),1),IF(OR($A189="",$D189="",$E189=""),0,_xlpm.dias*$I189*_xlpm.factor))</f>
        <v/>
      </c>
      <c r="P189" s="34">
        <f>_xlfn.LET(_xlpm.horas,J189,_xlpm.feriados,IF($H189="CO",FER_CO,FER_EC),_xlpm.capacidad,NETWORKDAYS(J$3,J$4,_xlpm.feriados)*INDEX(Consultores!$C$6:$C$65,MATCH($A189,Consultores!$A$6:$A$65,0)),IF(_xlpm.horas=0,"",IFERROR(_xlpm.horas/_xlpm.capacidad,"")))</f>
        <v/>
      </c>
      <c r="Q189" s="34">
        <f>_xlfn.LET(_xlpm.horas,K189,_xlpm.feriados,IF($H189="CO",FER_CO,FER_EC),_xlpm.capacidad,NETWORKDAYS(K$3,K$4,_xlpm.feriados)*INDEX(Consultores!$C$6:$C$65,MATCH($A189,Consultores!$A$6:$A$65,0)),IF(_xlpm.horas=0,"",IFERROR(_xlpm.horas/_xlpm.capacidad,"")))</f>
        <v/>
      </c>
      <c r="R189" s="34">
        <f>_xlfn.LET(_xlpm.horas,L189,_xlpm.feriados,IF($H189="CO",FER_CO,FER_EC),_xlpm.capacidad,NETWORKDAYS(L$3,L$4,_xlpm.feriados)*INDEX(Consultores!$C$6:$C$65,MATCH($A189,Consultores!$A$6:$A$65,0)),IF(_xlpm.horas=0,"",IFERROR(_xlpm.horas/_xlpm.capacidad,"")))</f>
        <v/>
      </c>
      <c r="S189" s="34">
        <f>_xlfn.LET(_xlpm.horas,M189,_xlpm.feriados,IF($H189="CO",FER_CO,FER_EC),_xlpm.capacidad,NETWORKDAYS(M$3,M$4,_xlpm.feriados)*INDEX(Consultores!$C$6:$C$65,MATCH($A189,Consultores!$A$6:$A$65,0)),IF(_xlpm.horas=0,"",IFERROR(_xlpm.horas/_xlpm.capacidad,"")))</f>
        <v/>
      </c>
      <c r="T189" s="34">
        <f>_xlfn.LET(_xlpm.horas,N189,_xlpm.feriados,IF($H189="CO",FER_CO,FER_EC),_xlpm.capacidad,NETWORKDAYS(N$3,N$4,_xlpm.feriados)*INDEX(Consultores!$C$6:$C$65,MATCH($A189,Consultores!$A$6:$A$65,0)),IF(_xlpm.horas=0,"",IFERROR(_xlpm.horas/_xlpm.capacidad,"")))</f>
        <v/>
      </c>
      <c r="U189" s="34">
        <f>_xlfn.LET(_xlpm.horas,O189,_xlpm.feriados,IF($H189="CO",FER_CO,FER_EC),_xlpm.capacidad,NETWORKDAYS(O$3,O$4,_xlpm.feriados)*INDEX(Consultores!$C$6:$C$65,MATCH($A189,Consultores!$A$6:$A$65,0)),IF(_xlpm.horas=0,"",IFERROR(_xlpm.horas/_xlpm.capacidad,"")))</f>
        <v/>
      </c>
    </row>
    <row r="190">
      <c r="A190" s="25" t="n"/>
      <c r="B190" s="25" t="n"/>
      <c r="C190" s="25" t="n"/>
      <c r="D190" s="30" t="n"/>
      <c r="E190" s="30" t="n"/>
      <c r="F190" s="26" t="n"/>
      <c r="G190" s="25" t="n"/>
      <c r="H190" s="31">
        <f>IF($A190="","",IFERROR(INDEX(Consultores!$B$6:$B$65,MATCH($A190,Consultores!$A$6:$A$65,0)),"No existe"))</f>
        <v/>
      </c>
      <c r="I190" s="32">
        <f>IF($F190="",0,$F190/5)</f>
        <v/>
      </c>
      <c r="J190" s="33">
        <f>_xlfn.LET(_xlpm.inicio,MAX($D190,J$3),_xlpm.fin,MIN($E190,J$4),_xlpm.feriados,IF($H190="CO",FER_CO,FER_EC),_xlpm.dias,IF(_xlpm.inicio&gt;_xlpm.fin,0,NETWORKDAYS(_xlpm.inicio,_xlpm.fin,_xlpm.feriados)),_xlpm.factor,IF($G190="Probable",IF(Parametros!$B$6="Sí",1,0),1),IF(OR($A190="",$D190="",$E190=""),0,_xlpm.dias*$I190*_xlpm.factor))</f>
        <v/>
      </c>
      <c r="K190" s="33">
        <f>_xlfn.LET(_xlpm.inicio,MAX($D190,K$3),_xlpm.fin,MIN($E190,K$4),_xlpm.feriados,IF($H190="CO",FER_CO,FER_EC),_xlpm.dias,IF(_xlpm.inicio&gt;_xlpm.fin,0,NETWORKDAYS(_xlpm.inicio,_xlpm.fin,_xlpm.feriados)),_xlpm.factor,IF($G190="Probable",IF(Parametros!$B$6="Sí",1,0),1),IF(OR($A190="",$D190="",$E190=""),0,_xlpm.dias*$I190*_xlpm.factor))</f>
        <v/>
      </c>
      <c r="L190" s="33">
        <f>_xlfn.LET(_xlpm.inicio,MAX($D190,L$3),_xlpm.fin,MIN($E190,L$4),_xlpm.feriados,IF($H190="CO",FER_CO,FER_EC),_xlpm.dias,IF(_xlpm.inicio&gt;_xlpm.fin,0,NETWORKDAYS(_xlpm.inicio,_xlpm.fin,_xlpm.feriados)),_xlpm.factor,IF($G190="Probable",IF(Parametros!$B$6="Sí",1,0),1),IF(OR($A190="",$D190="",$E190=""),0,_xlpm.dias*$I190*_xlpm.factor))</f>
        <v/>
      </c>
      <c r="M190" s="33">
        <f>_xlfn.LET(_xlpm.inicio,MAX($D190,M$3),_xlpm.fin,MIN($E190,M$4),_xlpm.feriados,IF($H190="CO",FER_CO,FER_EC),_xlpm.dias,IF(_xlpm.inicio&gt;_xlpm.fin,0,NETWORKDAYS(_xlpm.inicio,_xlpm.fin,_xlpm.feriados)),_xlpm.factor,IF($G190="Probable",IF(Parametros!$B$6="Sí",1,0),1),IF(OR($A190="",$D190="",$E190=""),0,_xlpm.dias*$I190*_xlpm.factor))</f>
        <v/>
      </c>
      <c r="N190" s="33">
        <f>_xlfn.LET(_xlpm.inicio,MAX($D190,N$3),_xlpm.fin,MIN($E190,N$4),_xlpm.feriados,IF($H190="CO",FER_CO,FER_EC),_xlpm.dias,IF(_xlpm.inicio&gt;_xlpm.fin,0,NETWORKDAYS(_xlpm.inicio,_xlpm.fin,_xlpm.feriados)),_xlpm.factor,IF($G190="Probable",IF(Parametros!$B$6="Sí",1,0),1),IF(OR($A190="",$D190="",$E190=""),0,_xlpm.dias*$I190*_xlpm.factor))</f>
        <v/>
      </c>
      <c r="O190" s="33">
        <f>_xlfn.LET(_xlpm.inicio,MAX($D190,O$3),_xlpm.fin,MIN($E190,O$4),_xlpm.feriados,IF($H190="CO",FER_CO,FER_EC),_xlpm.dias,IF(_xlpm.inicio&gt;_xlpm.fin,0,NETWORKDAYS(_xlpm.inicio,_xlpm.fin,_xlpm.feriados)),_xlpm.factor,IF($G190="Probable",IF(Parametros!$B$6="Sí",1,0),1),IF(OR($A190="",$D190="",$E190=""),0,_xlpm.dias*$I190*_xlpm.factor))</f>
        <v/>
      </c>
      <c r="P190" s="34">
        <f>_xlfn.LET(_xlpm.horas,J190,_xlpm.feriados,IF($H190="CO",FER_CO,FER_EC),_xlpm.capacidad,NETWORKDAYS(J$3,J$4,_xlpm.feriados)*INDEX(Consultores!$C$6:$C$65,MATCH($A190,Consultores!$A$6:$A$65,0)),IF(_xlpm.horas=0,"",IFERROR(_xlpm.horas/_xlpm.capacidad,"")))</f>
        <v/>
      </c>
      <c r="Q190" s="34">
        <f>_xlfn.LET(_xlpm.horas,K190,_xlpm.feriados,IF($H190="CO",FER_CO,FER_EC),_xlpm.capacidad,NETWORKDAYS(K$3,K$4,_xlpm.feriados)*INDEX(Consultores!$C$6:$C$65,MATCH($A190,Consultores!$A$6:$A$65,0)),IF(_xlpm.horas=0,"",IFERROR(_xlpm.horas/_xlpm.capacidad,"")))</f>
        <v/>
      </c>
      <c r="R190" s="34">
        <f>_xlfn.LET(_xlpm.horas,L190,_xlpm.feriados,IF($H190="CO",FER_CO,FER_EC),_xlpm.capacidad,NETWORKDAYS(L$3,L$4,_xlpm.feriados)*INDEX(Consultores!$C$6:$C$65,MATCH($A190,Consultores!$A$6:$A$65,0)),IF(_xlpm.horas=0,"",IFERROR(_xlpm.horas/_xlpm.capacidad,"")))</f>
        <v/>
      </c>
      <c r="S190" s="34">
        <f>_xlfn.LET(_xlpm.horas,M190,_xlpm.feriados,IF($H190="CO",FER_CO,FER_EC),_xlpm.capacidad,NETWORKDAYS(M$3,M$4,_xlpm.feriados)*INDEX(Consultores!$C$6:$C$65,MATCH($A190,Consultores!$A$6:$A$65,0)),IF(_xlpm.horas=0,"",IFERROR(_xlpm.horas/_xlpm.capacidad,"")))</f>
        <v/>
      </c>
      <c r="T190" s="34">
        <f>_xlfn.LET(_xlpm.horas,N190,_xlpm.feriados,IF($H190="CO",FER_CO,FER_EC),_xlpm.capacidad,NETWORKDAYS(N$3,N$4,_xlpm.feriados)*INDEX(Consultores!$C$6:$C$65,MATCH($A190,Consultores!$A$6:$A$65,0)),IF(_xlpm.horas=0,"",IFERROR(_xlpm.horas/_xlpm.capacidad,"")))</f>
        <v/>
      </c>
      <c r="U190" s="34">
        <f>_xlfn.LET(_xlpm.horas,O190,_xlpm.feriados,IF($H190="CO",FER_CO,FER_EC),_xlpm.capacidad,NETWORKDAYS(O$3,O$4,_xlpm.feriados)*INDEX(Consultores!$C$6:$C$65,MATCH($A190,Consultores!$A$6:$A$65,0)),IF(_xlpm.horas=0,"",IFERROR(_xlpm.horas/_xlpm.capacidad,"")))</f>
        <v/>
      </c>
    </row>
    <row r="191">
      <c r="A191" s="25" t="n"/>
      <c r="B191" s="25" t="n"/>
      <c r="C191" s="25" t="n"/>
      <c r="D191" s="30" t="n"/>
      <c r="E191" s="30" t="n"/>
      <c r="F191" s="26" t="n"/>
      <c r="G191" s="25" t="n"/>
      <c r="H191" s="31">
        <f>IF($A191="","",IFERROR(INDEX(Consultores!$B$6:$B$65,MATCH($A191,Consultores!$A$6:$A$65,0)),"No existe"))</f>
        <v/>
      </c>
      <c r="I191" s="32">
        <f>IF($F191="",0,$F191/5)</f>
        <v/>
      </c>
      <c r="J191" s="33">
        <f>_xlfn.LET(_xlpm.inicio,MAX($D191,J$3),_xlpm.fin,MIN($E191,J$4),_xlpm.feriados,IF($H191="CO",FER_CO,FER_EC),_xlpm.dias,IF(_xlpm.inicio&gt;_xlpm.fin,0,NETWORKDAYS(_xlpm.inicio,_xlpm.fin,_xlpm.feriados)),_xlpm.factor,IF($G191="Probable",IF(Parametros!$B$6="Sí",1,0),1),IF(OR($A191="",$D191="",$E191=""),0,_xlpm.dias*$I191*_xlpm.factor))</f>
        <v/>
      </c>
      <c r="K191" s="33">
        <f>_xlfn.LET(_xlpm.inicio,MAX($D191,K$3),_xlpm.fin,MIN($E191,K$4),_xlpm.feriados,IF($H191="CO",FER_CO,FER_EC),_xlpm.dias,IF(_xlpm.inicio&gt;_xlpm.fin,0,NETWORKDAYS(_xlpm.inicio,_xlpm.fin,_xlpm.feriados)),_xlpm.factor,IF($G191="Probable",IF(Parametros!$B$6="Sí",1,0),1),IF(OR($A191="",$D191="",$E191=""),0,_xlpm.dias*$I191*_xlpm.factor))</f>
        <v/>
      </c>
      <c r="L191" s="33">
        <f>_xlfn.LET(_xlpm.inicio,MAX($D191,L$3),_xlpm.fin,MIN($E191,L$4),_xlpm.feriados,IF($H191="CO",FER_CO,FER_EC),_xlpm.dias,IF(_xlpm.inicio&gt;_xlpm.fin,0,NETWORKDAYS(_xlpm.inicio,_xlpm.fin,_xlpm.feriados)),_xlpm.factor,IF($G191="Probable",IF(Parametros!$B$6="Sí",1,0),1),IF(OR($A191="",$D191="",$E191=""),0,_xlpm.dias*$I191*_xlpm.factor))</f>
        <v/>
      </c>
      <c r="M191" s="33">
        <f>_xlfn.LET(_xlpm.inicio,MAX($D191,M$3),_xlpm.fin,MIN($E191,M$4),_xlpm.feriados,IF($H191="CO",FER_CO,FER_EC),_xlpm.dias,IF(_xlpm.inicio&gt;_xlpm.fin,0,NETWORKDAYS(_xlpm.inicio,_xlpm.fin,_xlpm.feriados)),_xlpm.factor,IF($G191="Probable",IF(Parametros!$B$6="Sí",1,0),1),IF(OR($A191="",$D191="",$E191=""),0,_xlpm.dias*$I191*_xlpm.factor))</f>
        <v/>
      </c>
      <c r="N191" s="33">
        <f>_xlfn.LET(_xlpm.inicio,MAX($D191,N$3),_xlpm.fin,MIN($E191,N$4),_xlpm.feriados,IF($H191="CO",FER_CO,FER_EC),_xlpm.dias,IF(_xlpm.inicio&gt;_xlpm.fin,0,NETWORKDAYS(_xlpm.inicio,_xlpm.fin,_xlpm.feriados)),_xlpm.factor,IF($G191="Probable",IF(Parametros!$B$6="Sí",1,0),1),IF(OR($A191="",$D191="",$E191=""),0,_xlpm.dias*$I191*_xlpm.factor))</f>
        <v/>
      </c>
      <c r="O191" s="33">
        <f>_xlfn.LET(_xlpm.inicio,MAX($D191,O$3),_xlpm.fin,MIN($E191,O$4),_xlpm.feriados,IF($H191="CO",FER_CO,FER_EC),_xlpm.dias,IF(_xlpm.inicio&gt;_xlpm.fin,0,NETWORKDAYS(_xlpm.inicio,_xlpm.fin,_xlpm.feriados)),_xlpm.factor,IF($G191="Probable",IF(Parametros!$B$6="Sí",1,0),1),IF(OR($A191="",$D191="",$E191=""),0,_xlpm.dias*$I191*_xlpm.factor))</f>
        <v/>
      </c>
      <c r="P191" s="34">
        <f>_xlfn.LET(_xlpm.horas,J191,_xlpm.feriados,IF($H191="CO",FER_CO,FER_EC),_xlpm.capacidad,NETWORKDAYS(J$3,J$4,_xlpm.feriados)*INDEX(Consultores!$C$6:$C$65,MATCH($A191,Consultores!$A$6:$A$65,0)),IF(_xlpm.horas=0,"",IFERROR(_xlpm.horas/_xlpm.capacidad,"")))</f>
        <v/>
      </c>
      <c r="Q191" s="34">
        <f>_xlfn.LET(_xlpm.horas,K191,_xlpm.feriados,IF($H191="CO",FER_CO,FER_EC),_xlpm.capacidad,NETWORKDAYS(K$3,K$4,_xlpm.feriados)*INDEX(Consultores!$C$6:$C$65,MATCH($A191,Consultores!$A$6:$A$65,0)),IF(_xlpm.horas=0,"",IFERROR(_xlpm.horas/_xlpm.capacidad,"")))</f>
        <v/>
      </c>
      <c r="R191" s="34">
        <f>_xlfn.LET(_xlpm.horas,L191,_xlpm.feriados,IF($H191="CO",FER_CO,FER_EC),_xlpm.capacidad,NETWORKDAYS(L$3,L$4,_xlpm.feriados)*INDEX(Consultores!$C$6:$C$65,MATCH($A191,Consultores!$A$6:$A$65,0)),IF(_xlpm.horas=0,"",IFERROR(_xlpm.horas/_xlpm.capacidad,"")))</f>
        <v/>
      </c>
      <c r="S191" s="34">
        <f>_xlfn.LET(_xlpm.horas,M191,_xlpm.feriados,IF($H191="CO",FER_CO,FER_EC),_xlpm.capacidad,NETWORKDAYS(M$3,M$4,_xlpm.feriados)*INDEX(Consultores!$C$6:$C$65,MATCH($A191,Consultores!$A$6:$A$65,0)),IF(_xlpm.horas=0,"",IFERROR(_xlpm.horas/_xlpm.capacidad,"")))</f>
        <v/>
      </c>
      <c r="T191" s="34">
        <f>_xlfn.LET(_xlpm.horas,N191,_xlpm.feriados,IF($H191="CO",FER_CO,FER_EC),_xlpm.capacidad,NETWORKDAYS(N$3,N$4,_xlpm.feriados)*INDEX(Consultores!$C$6:$C$65,MATCH($A191,Consultores!$A$6:$A$65,0)),IF(_xlpm.horas=0,"",IFERROR(_xlpm.horas/_xlpm.capacidad,"")))</f>
        <v/>
      </c>
      <c r="U191" s="34">
        <f>_xlfn.LET(_xlpm.horas,O191,_xlpm.feriados,IF($H191="CO",FER_CO,FER_EC),_xlpm.capacidad,NETWORKDAYS(O$3,O$4,_xlpm.feriados)*INDEX(Consultores!$C$6:$C$65,MATCH($A191,Consultores!$A$6:$A$65,0)),IF(_xlpm.horas=0,"",IFERROR(_xlpm.horas/_xlpm.capacidad,"")))</f>
        <v/>
      </c>
    </row>
    <row r="192">
      <c r="A192" s="25" t="n"/>
      <c r="B192" s="25" t="n"/>
      <c r="C192" s="25" t="n"/>
      <c r="D192" s="30" t="n"/>
      <c r="E192" s="30" t="n"/>
      <c r="F192" s="26" t="n"/>
      <c r="G192" s="25" t="n"/>
      <c r="H192" s="31">
        <f>IF($A192="","",IFERROR(INDEX(Consultores!$B$6:$B$65,MATCH($A192,Consultores!$A$6:$A$65,0)),"No existe"))</f>
        <v/>
      </c>
      <c r="I192" s="32">
        <f>IF($F192="",0,$F192/5)</f>
        <v/>
      </c>
      <c r="J192" s="33">
        <f>_xlfn.LET(_xlpm.inicio,MAX($D192,J$3),_xlpm.fin,MIN($E192,J$4),_xlpm.feriados,IF($H192="CO",FER_CO,FER_EC),_xlpm.dias,IF(_xlpm.inicio&gt;_xlpm.fin,0,NETWORKDAYS(_xlpm.inicio,_xlpm.fin,_xlpm.feriados)),_xlpm.factor,IF($G192="Probable",IF(Parametros!$B$6="Sí",1,0),1),IF(OR($A192="",$D192="",$E192=""),0,_xlpm.dias*$I192*_xlpm.factor))</f>
        <v/>
      </c>
      <c r="K192" s="33">
        <f>_xlfn.LET(_xlpm.inicio,MAX($D192,K$3),_xlpm.fin,MIN($E192,K$4),_xlpm.feriados,IF($H192="CO",FER_CO,FER_EC),_xlpm.dias,IF(_xlpm.inicio&gt;_xlpm.fin,0,NETWORKDAYS(_xlpm.inicio,_xlpm.fin,_xlpm.feriados)),_xlpm.factor,IF($G192="Probable",IF(Parametros!$B$6="Sí",1,0),1),IF(OR($A192="",$D192="",$E192=""),0,_xlpm.dias*$I192*_xlpm.factor))</f>
        <v/>
      </c>
      <c r="L192" s="33">
        <f>_xlfn.LET(_xlpm.inicio,MAX($D192,L$3),_xlpm.fin,MIN($E192,L$4),_xlpm.feriados,IF($H192="CO",FER_CO,FER_EC),_xlpm.dias,IF(_xlpm.inicio&gt;_xlpm.fin,0,NETWORKDAYS(_xlpm.inicio,_xlpm.fin,_xlpm.feriados)),_xlpm.factor,IF($G192="Probable",IF(Parametros!$B$6="Sí",1,0),1),IF(OR($A192="",$D192="",$E192=""),0,_xlpm.dias*$I192*_xlpm.factor))</f>
        <v/>
      </c>
      <c r="M192" s="33">
        <f>_xlfn.LET(_xlpm.inicio,MAX($D192,M$3),_xlpm.fin,MIN($E192,M$4),_xlpm.feriados,IF($H192="CO",FER_CO,FER_EC),_xlpm.dias,IF(_xlpm.inicio&gt;_xlpm.fin,0,NETWORKDAYS(_xlpm.inicio,_xlpm.fin,_xlpm.feriados)),_xlpm.factor,IF($G192="Probable",IF(Parametros!$B$6="Sí",1,0),1),IF(OR($A192="",$D192="",$E192=""),0,_xlpm.dias*$I192*_xlpm.factor))</f>
        <v/>
      </c>
      <c r="N192" s="33">
        <f>_xlfn.LET(_xlpm.inicio,MAX($D192,N$3),_xlpm.fin,MIN($E192,N$4),_xlpm.feriados,IF($H192="CO",FER_CO,FER_EC),_xlpm.dias,IF(_xlpm.inicio&gt;_xlpm.fin,0,NETWORKDAYS(_xlpm.inicio,_xlpm.fin,_xlpm.feriados)),_xlpm.factor,IF($G192="Probable",IF(Parametros!$B$6="Sí",1,0),1),IF(OR($A192="",$D192="",$E192=""),0,_xlpm.dias*$I192*_xlpm.factor))</f>
        <v/>
      </c>
      <c r="O192" s="33">
        <f>_xlfn.LET(_xlpm.inicio,MAX($D192,O$3),_xlpm.fin,MIN($E192,O$4),_xlpm.feriados,IF($H192="CO",FER_CO,FER_EC),_xlpm.dias,IF(_xlpm.inicio&gt;_xlpm.fin,0,NETWORKDAYS(_xlpm.inicio,_xlpm.fin,_xlpm.feriados)),_xlpm.factor,IF($G192="Probable",IF(Parametros!$B$6="Sí",1,0),1),IF(OR($A192="",$D192="",$E192=""),0,_xlpm.dias*$I192*_xlpm.factor))</f>
        <v/>
      </c>
      <c r="P192" s="34">
        <f>_xlfn.LET(_xlpm.horas,J192,_xlpm.feriados,IF($H192="CO",FER_CO,FER_EC),_xlpm.capacidad,NETWORKDAYS(J$3,J$4,_xlpm.feriados)*INDEX(Consultores!$C$6:$C$65,MATCH($A192,Consultores!$A$6:$A$65,0)),IF(_xlpm.horas=0,"",IFERROR(_xlpm.horas/_xlpm.capacidad,"")))</f>
        <v/>
      </c>
      <c r="Q192" s="34">
        <f>_xlfn.LET(_xlpm.horas,K192,_xlpm.feriados,IF($H192="CO",FER_CO,FER_EC),_xlpm.capacidad,NETWORKDAYS(K$3,K$4,_xlpm.feriados)*INDEX(Consultores!$C$6:$C$65,MATCH($A192,Consultores!$A$6:$A$65,0)),IF(_xlpm.horas=0,"",IFERROR(_xlpm.horas/_xlpm.capacidad,"")))</f>
        <v/>
      </c>
      <c r="R192" s="34">
        <f>_xlfn.LET(_xlpm.horas,L192,_xlpm.feriados,IF($H192="CO",FER_CO,FER_EC),_xlpm.capacidad,NETWORKDAYS(L$3,L$4,_xlpm.feriados)*INDEX(Consultores!$C$6:$C$65,MATCH($A192,Consultores!$A$6:$A$65,0)),IF(_xlpm.horas=0,"",IFERROR(_xlpm.horas/_xlpm.capacidad,"")))</f>
        <v/>
      </c>
      <c r="S192" s="34">
        <f>_xlfn.LET(_xlpm.horas,M192,_xlpm.feriados,IF($H192="CO",FER_CO,FER_EC),_xlpm.capacidad,NETWORKDAYS(M$3,M$4,_xlpm.feriados)*INDEX(Consultores!$C$6:$C$65,MATCH($A192,Consultores!$A$6:$A$65,0)),IF(_xlpm.horas=0,"",IFERROR(_xlpm.horas/_xlpm.capacidad,"")))</f>
        <v/>
      </c>
      <c r="T192" s="34">
        <f>_xlfn.LET(_xlpm.horas,N192,_xlpm.feriados,IF($H192="CO",FER_CO,FER_EC),_xlpm.capacidad,NETWORKDAYS(N$3,N$4,_xlpm.feriados)*INDEX(Consultores!$C$6:$C$65,MATCH($A192,Consultores!$A$6:$A$65,0)),IF(_xlpm.horas=0,"",IFERROR(_xlpm.horas/_xlpm.capacidad,"")))</f>
        <v/>
      </c>
      <c r="U192" s="34">
        <f>_xlfn.LET(_xlpm.horas,O192,_xlpm.feriados,IF($H192="CO",FER_CO,FER_EC),_xlpm.capacidad,NETWORKDAYS(O$3,O$4,_xlpm.feriados)*INDEX(Consultores!$C$6:$C$65,MATCH($A192,Consultores!$A$6:$A$65,0)),IF(_xlpm.horas=0,"",IFERROR(_xlpm.horas/_xlpm.capacidad,"")))</f>
        <v/>
      </c>
    </row>
    <row r="193">
      <c r="A193" s="25" t="n"/>
      <c r="B193" s="25" t="n"/>
      <c r="C193" s="25" t="n"/>
      <c r="D193" s="30" t="n"/>
      <c r="E193" s="30" t="n"/>
      <c r="F193" s="26" t="n"/>
      <c r="G193" s="25" t="n"/>
      <c r="H193" s="31">
        <f>IF($A193="","",IFERROR(INDEX(Consultores!$B$6:$B$65,MATCH($A193,Consultores!$A$6:$A$65,0)),"No existe"))</f>
        <v/>
      </c>
      <c r="I193" s="32">
        <f>IF($F193="",0,$F193/5)</f>
        <v/>
      </c>
      <c r="J193" s="33">
        <f>_xlfn.LET(_xlpm.inicio,MAX($D193,J$3),_xlpm.fin,MIN($E193,J$4),_xlpm.feriados,IF($H193="CO",FER_CO,FER_EC),_xlpm.dias,IF(_xlpm.inicio&gt;_xlpm.fin,0,NETWORKDAYS(_xlpm.inicio,_xlpm.fin,_xlpm.feriados)),_xlpm.factor,IF($G193="Probable",IF(Parametros!$B$6="Sí",1,0),1),IF(OR($A193="",$D193="",$E193=""),0,_xlpm.dias*$I193*_xlpm.factor))</f>
        <v/>
      </c>
      <c r="K193" s="33">
        <f>_xlfn.LET(_xlpm.inicio,MAX($D193,K$3),_xlpm.fin,MIN($E193,K$4),_xlpm.feriados,IF($H193="CO",FER_CO,FER_EC),_xlpm.dias,IF(_xlpm.inicio&gt;_xlpm.fin,0,NETWORKDAYS(_xlpm.inicio,_xlpm.fin,_xlpm.feriados)),_xlpm.factor,IF($G193="Probable",IF(Parametros!$B$6="Sí",1,0),1),IF(OR($A193="",$D193="",$E193=""),0,_xlpm.dias*$I193*_xlpm.factor))</f>
        <v/>
      </c>
      <c r="L193" s="33">
        <f>_xlfn.LET(_xlpm.inicio,MAX($D193,L$3),_xlpm.fin,MIN($E193,L$4),_xlpm.feriados,IF($H193="CO",FER_CO,FER_EC),_xlpm.dias,IF(_xlpm.inicio&gt;_xlpm.fin,0,NETWORKDAYS(_xlpm.inicio,_xlpm.fin,_xlpm.feriados)),_xlpm.factor,IF($G193="Probable",IF(Parametros!$B$6="Sí",1,0),1),IF(OR($A193="",$D193="",$E193=""),0,_xlpm.dias*$I193*_xlpm.factor))</f>
        <v/>
      </c>
      <c r="M193" s="33">
        <f>_xlfn.LET(_xlpm.inicio,MAX($D193,M$3),_xlpm.fin,MIN($E193,M$4),_xlpm.feriados,IF($H193="CO",FER_CO,FER_EC),_xlpm.dias,IF(_xlpm.inicio&gt;_xlpm.fin,0,NETWORKDAYS(_xlpm.inicio,_xlpm.fin,_xlpm.feriados)),_xlpm.factor,IF($G193="Probable",IF(Parametros!$B$6="Sí",1,0),1),IF(OR($A193="",$D193="",$E193=""),0,_xlpm.dias*$I193*_xlpm.factor))</f>
        <v/>
      </c>
      <c r="N193" s="33">
        <f>_xlfn.LET(_xlpm.inicio,MAX($D193,N$3),_xlpm.fin,MIN($E193,N$4),_xlpm.feriados,IF($H193="CO",FER_CO,FER_EC),_xlpm.dias,IF(_xlpm.inicio&gt;_xlpm.fin,0,NETWORKDAYS(_xlpm.inicio,_xlpm.fin,_xlpm.feriados)),_xlpm.factor,IF($G193="Probable",IF(Parametros!$B$6="Sí",1,0),1),IF(OR($A193="",$D193="",$E193=""),0,_xlpm.dias*$I193*_xlpm.factor))</f>
        <v/>
      </c>
      <c r="O193" s="33">
        <f>_xlfn.LET(_xlpm.inicio,MAX($D193,O$3),_xlpm.fin,MIN($E193,O$4),_xlpm.feriados,IF($H193="CO",FER_CO,FER_EC),_xlpm.dias,IF(_xlpm.inicio&gt;_xlpm.fin,0,NETWORKDAYS(_xlpm.inicio,_xlpm.fin,_xlpm.feriados)),_xlpm.factor,IF($G193="Probable",IF(Parametros!$B$6="Sí",1,0),1),IF(OR($A193="",$D193="",$E193=""),0,_xlpm.dias*$I193*_xlpm.factor))</f>
        <v/>
      </c>
      <c r="P193" s="34">
        <f>_xlfn.LET(_xlpm.horas,J193,_xlpm.feriados,IF($H193="CO",FER_CO,FER_EC),_xlpm.capacidad,NETWORKDAYS(J$3,J$4,_xlpm.feriados)*INDEX(Consultores!$C$6:$C$65,MATCH($A193,Consultores!$A$6:$A$65,0)),IF(_xlpm.horas=0,"",IFERROR(_xlpm.horas/_xlpm.capacidad,"")))</f>
        <v/>
      </c>
      <c r="Q193" s="34">
        <f>_xlfn.LET(_xlpm.horas,K193,_xlpm.feriados,IF($H193="CO",FER_CO,FER_EC),_xlpm.capacidad,NETWORKDAYS(K$3,K$4,_xlpm.feriados)*INDEX(Consultores!$C$6:$C$65,MATCH($A193,Consultores!$A$6:$A$65,0)),IF(_xlpm.horas=0,"",IFERROR(_xlpm.horas/_xlpm.capacidad,"")))</f>
        <v/>
      </c>
      <c r="R193" s="34">
        <f>_xlfn.LET(_xlpm.horas,L193,_xlpm.feriados,IF($H193="CO",FER_CO,FER_EC),_xlpm.capacidad,NETWORKDAYS(L$3,L$4,_xlpm.feriados)*INDEX(Consultores!$C$6:$C$65,MATCH($A193,Consultores!$A$6:$A$65,0)),IF(_xlpm.horas=0,"",IFERROR(_xlpm.horas/_xlpm.capacidad,"")))</f>
        <v/>
      </c>
      <c r="S193" s="34">
        <f>_xlfn.LET(_xlpm.horas,M193,_xlpm.feriados,IF($H193="CO",FER_CO,FER_EC),_xlpm.capacidad,NETWORKDAYS(M$3,M$4,_xlpm.feriados)*INDEX(Consultores!$C$6:$C$65,MATCH($A193,Consultores!$A$6:$A$65,0)),IF(_xlpm.horas=0,"",IFERROR(_xlpm.horas/_xlpm.capacidad,"")))</f>
        <v/>
      </c>
      <c r="T193" s="34">
        <f>_xlfn.LET(_xlpm.horas,N193,_xlpm.feriados,IF($H193="CO",FER_CO,FER_EC),_xlpm.capacidad,NETWORKDAYS(N$3,N$4,_xlpm.feriados)*INDEX(Consultores!$C$6:$C$65,MATCH($A193,Consultores!$A$6:$A$65,0)),IF(_xlpm.horas=0,"",IFERROR(_xlpm.horas/_xlpm.capacidad,"")))</f>
        <v/>
      </c>
      <c r="U193" s="34">
        <f>_xlfn.LET(_xlpm.horas,O193,_xlpm.feriados,IF($H193="CO",FER_CO,FER_EC),_xlpm.capacidad,NETWORKDAYS(O$3,O$4,_xlpm.feriados)*INDEX(Consultores!$C$6:$C$65,MATCH($A193,Consultores!$A$6:$A$65,0)),IF(_xlpm.horas=0,"",IFERROR(_xlpm.horas/_xlpm.capacidad,"")))</f>
        <v/>
      </c>
    </row>
    <row r="194">
      <c r="A194" s="25" t="n"/>
      <c r="B194" s="25" t="n"/>
      <c r="C194" s="25" t="n"/>
      <c r="D194" s="30" t="n"/>
      <c r="E194" s="30" t="n"/>
      <c r="F194" s="26" t="n"/>
      <c r="G194" s="25" t="n"/>
      <c r="H194" s="31">
        <f>IF($A194="","",IFERROR(INDEX(Consultores!$B$6:$B$65,MATCH($A194,Consultores!$A$6:$A$65,0)),"No existe"))</f>
        <v/>
      </c>
      <c r="I194" s="32">
        <f>IF($F194="",0,$F194/5)</f>
        <v/>
      </c>
      <c r="J194" s="33">
        <f>_xlfn.LET(_xlpm.inicio,MAX($D194,J$3),_xlpm.fin,MIN($E194,J$4),_xlpm.feriados,IF($H194="CO",FER_CO,FER_EC),_xlpm.dias,IF(_xlpm.inicio&gt;_xlpm.fin,0,NETWORKDAYS(_xlpm.inicio,_xlpm.fin,_xlpm.feriados)),_xlpm.factor,IF($G194="Probable",IF(Parametros!$B$6="Sí",1,0),1),IF(OR($A194="",$D194="",$E194=""),0,_xlpm.dias*$I194*_xlpm.factor))</f>
        <v/>
      </c>
      <c r="K194" s="33">
        <f>_xlfn.LET(_xlpm.inicio,MAX($D194,K$3),_xlpm.fin,MIN($E194,K$4),_xlpm.feriados,IF($H194="CO",FER_CO,FER_EC),_xlpm.dias,IF(_xlpm.inicio&gt;_xlpm.fin,0,NETWORKDAYS(_xlpm.inicio,_xlpm.fin,_xlpm.feriados)),_xlpm.factor,IF($G194="Probable",IF(Parametros!$B$6="Sí",1,0),1),IF(OR($A194="",$D194="",$E194=""),0,_xlpm.dias*$I194*_xlpm.factor))</f>
        <v/>
      </c>
      <c r="L194" s="33">
        <f>_xlfn.LET(_xlpm.inicio,MAX($D194,L$3),_xlpm.fin,MIN($E194,L$4),_xlpm.feriados,IF($H194="CO",FER_CO,FER_EC),_xlpm.dias,IF(_xlpm.inicio&gt;_xlpm.fin,0,NETWORKDAYS(_xlpm.inicio,_xlpm.fin,_xlpm.feriados)),_xlpm.factor,IF($G194="Probable",IF(Parametros!$B$6="Sí",1,0),1),IF(OR($A194="",$D194="",$E194=""),0,_xlpm.dias*$I194*_xlpm.factor))</f>
        <v/>
      </c>
      <c r="M194" s="33">
        <f>_xlfn.LET(_xlpm.inicio,MAX($D194,M$3),_xlpm.fin,MIN($E194,M$4),_xlpm.feriados,IF($H194="CO",FER_CO,FER_EC),_xlpm.dias,IF(_xlpm.inicio&gt;_xlpm.fin,0,NETWORKDAYS(_xlpm.inicio,_xlpm.fin,_xlpm.feriados)),_xlpm.factor,IF($G194="Probable",IF(Parametros!$B$6="Sí",1,0),1),IF(OR($A194="",$D194="",$E194=""),0,_xlpm.dias*$I194*_xlpm.factor))</f>
        <v/>
      </c>
      <c r="N194" s="33">
        <f>_xlfn.LET(_xlpm.inicio,MAX($D194,N$3),_xlpm.fin,MIN($E194,N$4),_xlpm.feriados,IF($H194="CO",FER_CO,FER_EC),_xlpm.dias,IF(_xlpm.inicio&gt;_xlpm.fin,0,NETWORKDAYS(_xlpm.inicio,_xlpm.fin,_xlpm.feriados)),_xlpm.factor,IF($G194="Probable",IF(Parametros!$B$6="Sí",1,0),1),IF(OR($A194="",$D194="",$E194=""),0,_xlpm.dias*$I194*_xlpm.factor))</f>
        <v/>
      </c>
      <c r="O194" s="33">
        <f>_xlfn.LET(_xlpm.inicio,MAX($D194,O$3),_xlpm.fin,MIN($E194,O$4),_xlpm.feriados,IF($H194="CO",FER_CO,FER_EC),_xlpm.dias,IF(_xlpm.inicio&gt;_xlpm.fin,0,NETWORKDAYS(_xlpm.inicio,_xlpm.fin,_xlpm.feriados)),_xlpm.factor,IF($G194="Probable",IF(Parametros!$B$6="Sí",1,0),1),IF(OR($A194="",$D194="",$E194=""),0,_xlpm.dias*$I194*_xlpm.factor))</f>
        <v/>
      </c>
      <c r="P194" s="34">
        <f>_xlfn.LET(_xlpm.horas,J194,_xlpm.feriados,IF($H194="CO",FER_CO,FER_EC),_xlpm.capacidad,NETWORKDAYS(J$3,J$4,_xlpm.feriados)*INDEX(Consultores!$C$6:$C$65,MATCH($A194,Consultores!$A$6:$A$65,0)),IF(_xlpm.horas=0,"",IFERROR(_xlpm.horas/_xlpm.capacidad,"")))</f>
        <v/>
      </c>
      <c r="Q194" s="34">
        <f>_xlfn.LET(_xlpm.horas,K194,_xlpm.feriados,IF($H194="CO",FER_CO,FER_EC),_xlpm.capacidad,NETWORKDAYS(K$3,K$4,_xlpm.feriados)*INDEX(Consultores!$C$6:$C$65,MATCH($A194,Consultores!$A$6:$A$65,0)),IF(_xlpm.horas=0,"",IFERROR(_xlpm.horas/_xlpm.capacidad,"")))</f>
        <v/>
      </c>
      <c r="R194" s="34">
        <f>_xlfn.LET(_xlpm.horas,L194,_xlpm.feriados,IF($H194="CO",FER_CO,FER_EC),_xlpm.capacidad,NETWORKDAYS(L$3,L$4,_xlpm.feriados)*INDEX(Consultores!$C$6:$C$65,MATCH($A194,Consultores!$A$6:$A$65,0)),IF(_xlpm.horas=0,"",IFERROR(_xlpm.horas/_xlpm.capacidad,"")))</f>
        <v/>
      </c>
      <c r="S194" s="34">
        <f>_xlfn.LET(_xlpm.horas,M194,_xlpm.feriados,IF($H194="CO",FER_CO,FER_EC),_xlpm.capacidad,NETWORKDAYS(M$3,M$4,_xlpm.feriados)*INDEX(Consultores!$C$6:$C$65,MATCH($A194,Consultores!$A$6:$A$65,0)),IF(_xlpm.horas=0,"",IFERROR(_xlpm.horas/_xlpm.capacidad,"")))</f>
        <v/>
      </c>
      <c r="T194" s="34">
        <f>_xlfn.LET(_xlpm.horas,N194,_xlpm.feriados,IF($H194="CO",FER_CO,FER_EC),_xlpm.capacidad,NETWORKDAYS(N$3,N$4,_xlpm.feriados)*INDEX(Consultores!$C$6:$C$65,MATCH($A194,Consultores!$A$6:$A$65,0)),IF(_xlpm.horas=0,"",IFERROR(_xlpm.horas/_xlpm.capacidad,"")))</f>
        <v/>
      </c>
      <c r="U194" s="34">
        <f>_xlfn.LET(_xlpm.horas,O194,_xlpm.feriados,IF($H194="CO",FER_CO,FER_EC),_xlpm.capacidad,NETWORKDAYS(O$3,O$4,_xlpm.feriados)*INDEX(Consultores!$C$6:$C$65,MATCH($A194,Consultores!$A$6:$A$65,0)),IF(_xlpm.horas=0,"",IFERROR(_xlpm.horas/_xlpm.capacidad,"")))</f>
        <v/>
      </c>
    </row>
    <row r="195">
      <c r="A195" s="25" t="n"/>
      <c r="B195" s="25" t="n"/>
      <c r="C195" s="25" t="n"/>
      <c r="D195" s="30" t="n"/>
      <c r="E195" s="30" t="n"/>
      <c r="F195" s="26" t="n"/>
      <c r="G195" s="25" t="n"/>
      <c r="H195" s="31">
        <f>IF($A195="","",IFERROR(INDEX(Consultores!$B$6:$B$65,MATCH($A195,Consultores!$A$6:$A$65,0)),"No existe"))</f>
        <v/>
      </c>
      <c r="I195" s="32">
        <f>IF($F195="",0,$F195/5)</f>
        <v/>
      </c>
      <c r="J195" s="33">
        <f>_xlfn.LET(_xlpm.inicio,MAX($D195,J$3),_xlpm.fin,MIN($E195,J$4),_xlpm.feriados,IF($H195="CO",FER_CO,FER_EC),_xlpm.dias,IF(_xlpm.inicio&gt;_xlpm.fin,0,NETWORKDAYS(_xlpm.inicio,_xlpm.fin,_xlpm.feriados)),_xlpm.factor,IF($G195="Probable",IF(Parametros!$B$6="Sí",1,0),1),IF(OR($A195="",$D195="",$E195=""),0,_xlpm.dias*$I195*_xlpm.factor))</f>
        <v/>
      </c>
      <c r="K195" s="33">
        <f>_xlfn.LET(_xlpm.inicio,MAX($D195,K$3),_xlpm.fin,MIN($E195,K$4),_xlpm.feriados,IF($H195="CO",FER_CO,FER_EC),_xlpm.dias,IF(_xlpm.inicio&gt;_xlpm.fin,0,NETWORKDAYS(_xlpm.inicio,_xlpm.fin,_xlpm.feriados)),_xlpm.factor,IF($G195="Probable",IF(Parametros!$B$6="Sí",1,0),1),IF(OR($A195="",$D195="",$E195=""),0,_xlpm.dias*$I195*_xlpm.factor))</f>
        <v/>
      </c>
      <c r="L195" s="33">
        <f>_xlfn.LET(_xlpm.inicio,MAX($D195,L$3),_xlpm.fin,MIN($E195,L$4),_xlpm.feriados,IF($H195="CO",FER_CO,FER_EC),_xlpm.dias,IF(_xlpm.inicio&gt;_xlpm.fin,0,NETWORKDAYS(_xlpm.inicio,_xlpm.fin,_xlpm.feriados)),_xlpm.factor,IF($G195="Probable",IF(Parametros!$B$6="Sí",1,0),1),IF(OR($A195="",$D195="",$E195=""),0,_xlpm.dias*$I195*_xlpm.factor))</f>
        <v/>
      </c>
      <c r="M195" s="33">
        <f>_xlfn.LET(_xlpm.inicio,MAX($D195,M$3),_xlpm.fin,MIN($E195,M$4),_xlpm.feriados,IF($H195="CO",FER_CO,FER_EC),_xlpm.dias,IF(_xlpm.inicio&gt;_xlpm.fin,0,NETWORKDAYS(_xlpm.inicio,_xlpm.fin,_xlpm.feriados)),_xlpm.factor,IF($G195="Probable",IF(Parametros!$B$6="Sí",1,0),1),IF(OR($A195="",$D195="",$E195=""),0,_xlpm.dias*$I195*_xlpm.factor))</f>
        <v/>
      </c>
      <c r="N195" s="33">
        <f>_xlfn.LET(_xlpm.inicio,MAX($D195,N$3),_xlpm.fin,MIN($E195,N$4),_xlpm.feriados,IF($H195="CO",FER_CO,FER_EC),_xlpm.dias,IF(_xlpm.inicio&gt;_xlpm.fin,0,NETWORKDAYS(_xlpm.inicio,_xlpm.fin,_xlpm.feriados)),_xlpm.factor,IF($G195="Probable",IF(Parametros!$B$6="Sí",1,0),1),IF(OR($A195="",$D195="",$E195=""),0,_xlpm.dias*$I195*_xlpm.factor))</f>
        <v/>
      </c>
      <c r="O195" s="33">
        <f>_xlfn.LET(_xlpm.inicio,MAX($D195,O$3),_xlpm.fin,MIN($E195,O$4),_xlpm.feriados,IF($H195="CO",FER_CO,FER_EC),_xlpm.dias,IF(_xlpm.inicio&gt;_xlpm.fin,0,NETWORKDAYS(_xlpm.inicio,_xlpm.fin,_xlpm.feriados)),_xlpm.factor,IF($G195="Probable",IF(Parametros!$B$6="Sí",1,0),1),IF(OR($A195="",$D195="",$E195=""),0,_xlpm.dias*$I195*_xlpm.factor))</f>
        <v/>
      </c>
      <c r="P195" s="34">
        <f>_xlfn.LET(_xlpm.horas,J195,_xlpm.feriados,IF($H195="CO",FER_CO,FER_EC),_xlpm.capacidad,NETWORKDAYS(J$3,J$4,_xlpm.feriados)*INDEX(Consultores!$C$6:$C$65,MATCH($A195,Consultores!$A$6:$A$65,0)),IF(_xlpm.horas=0,"",IFERROR(_xlpm.horas/_xlpm.capacidad,"")))</f>
        <v/>
      </c>
      <c r="Q195" s="34">
        <f>_xlfn.LET(_xlpm.horas,K195,_xlpm.feriados,IF($H195="CO",FER_CO,FER_EC),_xlpm.capacidad,NETWORKDAYS(K$3,K$4,_xlpm.feriados)*INDEX(Consultores!$C$6:$C$65,MATCH($A195,Consultores!$A$6:$A$65,0)),IF(_xlpm.horas=0,"",IFERROR(_xlpm.horas/_xlpm.capacidad,"")))</f>
        <v/>
      </c>
      <c r="R195" s="34">
        <f>_xlfn.LET(_xlpm.horas,L195,_xlpm.feriados,IF($H195="CO",FER_CO,FER_EC),_xlpm.capacidad,NETWORKDAYS(L$3,L$4,_xlpm.feriados)*INDEX(Consultores!$C$6:$C$65,MATCH($A195,Consultores!$A$6:$A$65,0)),IF(_xlpm.horas=0,"",IFERROR(_xlpm.horas/_xlpm.capacidad,"")))</f>
        <v/>
      </c>
      <c r="S195" s="34">
        <f>_xlfn.LET(_xlpm.horas,M195,_xlpm.feriados,IF($H195="CO",FER_CO,FER_EC),_xlpm.capacidad,NETWORKDAYS(M$3,M$4,_xlpm.feriados)*INDEX(Consultores!$C$6:$C$65,MATCH($A195,Consultores!$A$6:$A$65,0)),IF(_xlpm.horas=0,"",IFERROR(_xlpm.horas/_xlpm.capacidad,"")))</f>
        <v/>
      </c>
      <c r="T195" s="34">
        <f>_xlfn.LET(_xlpm.horas,N195,_xlpm.feriados,IF($H195="CO",FER_CO,FER_EC),_xlpm.capacidad,NETWORKDAYS(N$3,N$4,_xlpm.feriados)*INDEX(Consultores!$C$6:$C$65,MATCH($A195,Consultores!$A$6:$A$65,0)),IF(_xlpm.horas=0,"",IFERROR(_xlpm.horas/_xlpm.capacidad,"")))</f>
        <v/>
      </c>
      <c r="U195" s="34">
        <f>_xlfn.LET(_xlpm.horas,O195,_xlpm.feriados,IF($H195="CO",FER_CO,FER_EC),_xlpm.capacidad,NETWORKDAYS(O$3,O$4,_xlpm.feriados)*INDEX(Consultores!$C$6:$C$65,MATCH($A195,Consultores!$A$6:$A$65,0)),IF(_xlpm.horas=0,"",IFERROR(_xlpm.horas/_xlpm.capacidad,"")))</f>
        <v/>
      </c>
    </row>
    <row r="196">
      <c r="A196" s="25" t="n"/>
      <c r="B196" s="25" t="n"/>
      <c r="C196" s="25" t="n"/>
      <c r="D196" s="30" t="n"/>
      <c r="E196" s="30" t="n"/>
      <c r="F196" s="26" t="n"/>
      <c r="G196" s="25" t="n"/>
      <c r="H196" s="31">
        <f>IF($A196="","",IFERROR(INDEX(Consultores!$B$6:$B$65,MATCH($A196,Consultores!$A$6:$A$65,0)),"No existe"))</f>
        <v/>
      </c>
      <c r="I196" s="32">
        <f>IF($F196="",0,$F196/5)</f>
        <v/>
      </c>
      <c r="J196" s="33">
        <f>_xlfn.LET(_xlpm.inicio,MAX($D196,J$3),_xlpm.fin,MIN($E196,J$4),_xlpm.feriados,IF($H196="CO",FER_CO,FER_EC),_xlpm.dias,IF(_xlpm.inicio&gt;_xlpm.fin,0,NETWORKDAYS(_xlpm.inicio,_xlpm.fin,_xlpm.feriados)),_xlpm.factor,IF($G196="Probable",IF(Parametros!$B$6="Sí",1,0),1),IF(OR($A196="",$D196="",$E196=""),0,_xlpm.dias*$I196*_xlpm.factor))</f>
        <v/>
      </c>
      <c r="K196" s="33">
        <f>_xlfn.LET(_xlpm.inicio,MAX($D196,K$3),_xlpm.fin,MIN($E196,K$4),_xlpm.feriados,IF($H196="CO",FER_CO,FER_EC),_xlpm.dias,IF(_xlpm.inicio&gt;_xlpm.fin,0,NETWORKDAYS(_xlpm.inicio,_xlpm.fin,_xlpm.feriados)),_xlpm.factor,IF($G196="Probable",IF(Parametros!$B$6="Sí",1,0),1),IF(OR($A196="",$D196="",$E196=""),0,_xlpm.dias*$I196*_xlpm.factor))</f>
        <v/>
      </c>
      <c r="L196" s="33">
        <f>_xlfn.LET(_xlpm.inicio,MAX($D196,L$3),_xlpm.fin,MIN($E196,L$4),_xlpm.feriados,IF($H196="CO",FER_CO,FER_EC),_xlpm.dias,IF(_xlpm.inicio&gt;_xlpm.fin,0,NETWORKDAYS(_xlpm.inicio,_xlpm.fin,_xlpm.feriados)),_xlpm.factor,IF($G196="Probable",IF(Parametros!$B$6="Sí",1,0),1),IF(OR($A196="",$D196="",$E196=""),0,_xlpm.dias*$I196*_xlpm.factor))</f>
        <v/>
      </c>
      <c r="M196" s="33">
        <f>_xlfn.LET(_xlpm.inicio,MAX($D196,M$3),_xlpm.fin,MIN($E196,M$4),_xlpm.feriados,IF($H196="CO",FER_CO,FER_EC),_xlpm.dias,IF(_xlpm.inicio&gt;_xlpm.fin,0,NETWORKDAYS(_xlpm.inicio,_xlpm.fin,_xlpm.feriados)),_xlpm.factor,IF($G196="Probable",IF(Parametros!$B$6="Sí",1,0),1),IF(OR($A196="",$D196="",$E196=""),0,_xlpm.dias*$I196*_xlpm.factor))</f>
        <v/>
      </c>
      <c r="N196" s="33">
        <f>_xlfn.LET(_xlpm.inicio,MAX($D196,N$3),_xlpm.fin,MIN($E196,N$4),_xlpm.feriados,IF($H196="CO",FER_CO,FER_EC),_xlpm.dias,IF(_xlpm.inicio&gt;_xlpm.fin,0,NETWORKDAYS(_xlpm.inicio,_xlpm.fin,_xlpm.feriados)),_xlpm.factor,IF($G196="Probable",IF(Parametros!$B$6="Sí",1,0),1),IF(OR($A196="",$D196="",$E196=""),0,_xlpm.dias*$I196*_xlpm.factor))</f>
        <v/>
      </c>
      <c r="O196" s="33">
        <f>_xlfn.LET(_xlpm.inicio,MAX($D196,O$3),_xlpm.fin,MIN($E196,O$4),_xlpm.feriados,IF($H196="CO",FER_CO,FER_EC),_xlpm.dias,IF(_xlpm.inicio&gt;_xlpm.fin,0,NETWORKDAYS(_xlpm.inicio,_xlpm.fin,_xlpm.feriados)),_xlpm.factor,IF($G196="Probable",IF(Parametros!$B$6="Sí",1,0),1),IF(OR($A196="",$D196="",$E196=""),0,_xlpm.dias*$I196*_xlpm.factor))</f>
        <v/>
      </c>
      <c r="P196" s="34">
        <f>_xlfn.LET(_xlpm.horas,J196,_xlpm.feriados,IF($H196="CO",FER_CO,FER_EC),_xlpm.capacidad,NETWORKDAYS(J$3,J$4,_xlpm.feriados)*INDEX(Consultores!$C$6:$C$65,MATCH($A196,Consultores!$A$6:$A$65,0)),IF(_xlpm.horas=0,"",IFERROR(_xlpm.horas/_xlpm.capacidad,"")))</f>
        <v/>
      </c>
      <c r="Q196" s="34">
        <f>_xlfn.LET(_xlpm.horas,K196,_xlpm.feriados,IF($H196="CO",FER_CO,FER_EC),_xlpm.capacidad,NETWORKDAYS(K$3,K$4,_xlpm.feriados)*INDEX(Consultores!$C$6:$C$65,MATCH($A196,Consultores!$A$6:$A$65,0)),IF(_xlpm.horas=0,"",IFERROR(_xlpm.horas/_xlpm.capacidad,"")))</f>
        <v/>
      </c>
      <c r="R196" s="34">
        <f>_xlfn.LET(_xlpm.horas,L196,_xlpm.feriados,IF($H196="CO",FER_CO,FER_EC),_xlpm.capacidad,NETWORKDAYS(L$3,L$4,_xlpm.feriados)*INDEX(Consultores!$C$6:$C$65,MATCH($A196,Consultores!$A$6:$A$65,0)),IF(_xlpm.horas=0,"",IFERROR(_xlpm.horas/_xlpm.capacidad,"")))</f>
        <v/>
      </c>
      <c r="S196" s="34">
        <f>_xlfn.LET(_xlpm.horas,M196,_xlpm.feriados,IF($H196="CO",FER_CO,FER_EC),_xlpm.capacidad,NETWORKDAYS(M$3,M$4,_xlpm.feriados)*INDEX(Consultores!$C$6:$C$65,MATCH($A196,Consultores!$A$6:$A$65,0)),IF(_xlpm.horas=0,"",IFERROR(_xlpm.horas/_xlpm.capacidad,"")))</f>
        <v/>
      </c>
      <c r="T196" s="34">
        <f>_xlfn.LET(_xlpm.horas,N196,_xlpm.feriados,IF($H196="CO",FER_CO,FER_EC),_xlpm.capacidad,NETWORKDAYS(N$3,N$4,_xlpm.feriados)*INDEX(Consultores!$C$6:$C$65,MATCH($A196,Consultores!$A$6:$A$65,0)),IF(_xlpm.horas=0,"",IFERROR(_xlpm.horas/_xlpm.capacidad,"")))</f>
        <v/>
      </c>
      <c r="U196" s="34">
        <f>_xlfn.LET(_xlpm.horas,O196,_xlpm.feriados,IF($H196="CO",FER_CO,FER_EC),_xlpm.capacidad,NETWORKDAYS(O$3,O$4,_xlpm.feriados)*INDEX(Consultores!$C$6:$C$65,MATCH($A196,Consultores!$A$6:$A$65,0)),IF(_xlpm.horas=0,"",IFERROR(_xlpm.horas/_xlpm.capacidad,"")))</f>
        <v/>
      </c>
    </row>
    <row r="197">
      <c r="A197" s="25" t="n"/>
      <c r="B197" s="25" t="n"/>
      <c r="C197" s="25" t="n"/>
      <c r="D197" s="30" t="n"/>
      <c r="E197" s="30" t="n"/>
      <c r="F197" s="26" t="n"/>
      <c r="G197" s="25" t="n"/>
      <c r="H197" s="31">
        <f>IF($A197="","",IFERROR(INDEX(Consultores!$B$6:$B$65,MATCH($A197,Consultores!$A$6:$A$65,0)),"No existe"))</f>
        <v/>
      </c>
      <c r="I197" s="32">
        <f>IF($F197="",0,$F197/5)</f>
        <v/>
      </c>
      <c r="J197" s="33">
        <f>_xlfn.LET(_xlpm.inicio,MAX($D197,J$3),_xlpm.fin,MIN($E197,J$4),_xlpm.feriados,IF($H197="CO",FER_CO,FER_EC),_xlpm.dias,IF(_xlpm.inicio&gt;_xlpm.fin,0,NETWORKDAYS(_xlpm.inicio,_xlpm.fin,_xlpm.feriados)),_xlpm.factor,IF($G197="Probable",IF(Parametros!$B$6="Sí",1,0),1),IF(OR($A197="",$D197="",$E197=""),0,_xlpm.dias*$I197*_xlpm.factor))</f>
        <v/>
      </c>
      <c r="K197" s="33">
        <f>_xlfn.LET(_xlpm.inicio,MAX($D197,K$3),_xlpm.fin,MIN($E197,K$4),_xlpm.feriados,IF($H197="CO",FER_CO,FER_EC),_xlpm.dias,IF(_xlpm.inicio&gt;_xlpm.fin,0,NETWORKDAYS(_xlpm.inicio,_xlpm.fin,_xlpm.feriados)),_xlpm.factor,IF($G197="Probable",IF(Parametros!$B$6="Sí",1,0),1),IF(OR($A197="",$D197="",$E197=""),0,_xlpm.dias*$I197*_xlpm.factor))</f>
        <v/>
      </c>
      <c r="L197" s="33">
        <f>_xlfn.LET(_xlpm.inicio,MAX($D197,L$3),_xlpm.fin,MIN($E197,L$4),_xlpm.feriados,IF($H197="CO",FER_CO,FER_EC),_xlpm.dias,IF(_xlpm.inicio&gt;_xlpm.fin,0,NETWORKDAYS(_xlpm.inicio,_xlpm.fin,_xlpm.feriados)),_xlpm.factor,IF($G197="Probable",IF(Parametros!$B$6="Sí",1,0),1),IF(OR($A197="",$D197="",$E197=""),0,_xlpm.dias*$I197*_xlpm.factor))</f>
        <v/>
      </c>
      <c r="M197" s="33">
        <f>_xlfn.LET(_xlpm.inicio,MAX($D197,M$3),_xlpm.fin,MIN($E197,M$4),_xlpm.feriados,IF($H197="CO",FER_CO,FER_EC),_xlpm.dias,IF(_xlpm.inicio&gt;_xlpm.fin,0,NETWORKDAYS(_xlpm.inicio,_xlpm.fin,_xlpm.feriados)),_xlpm.factor,IF($G197="Probable",IF(Parametros!$B$6="Sí",1,0),1),IF(OR($A197="",$D197="",$E197=""),0,_xlpm.dias*$I197*_xlpm.factor))</f>
        <v/>
      </c>
      <c r="N197" s="33">
        <f>_xlfn.LET(_xlpm.inicio,MAX($D197,N$3),_xlpm.fin,MIN($E197,N$4),_xlpm.feriados,IF($H197="CO",FER_CO,FER_EC),_xlpm.dias,IF(_xlpm.inicio&gt;_xlpm.fin,0,NETWORKDAYS(_xlpm.inicio,_xlpm.fin,_xlpm.feriados)),_xlpm.factor,IF($G197="Probable",IF(Parametros!$B$6="Sí",1,0),1),IF(OR($A197="",$D197="",$E197=""),0,_xlpm.dias*$I197*_xlpm.factor))</f>
        <v/>
      </c>
      <c r="O197" s="33">
        <f>_xlfn.LET(_xlpm.inicio,MAX($D197,O$3),_xlpm.fin,MIN($E197,O$4),_xlpm.feriados,IF($H197="CO",FER_CO,FER_EC),_xlpm.dias,IF(_xlpm.inicio&gt;_xlpm.fin,0,NETWORKDAYS(_xlpm.inicio,_xlpm.fin,_xlpm.feriados)),_xlpm.factor,IF($G197="Probable",IF(Parametros!$B$6="Sí",1,0),1),IF(OR($A197="",$D197="",$E197=""),0,_xlpm.dias*$I197*_xlpm.factor))</f>
        <v/>
      </c>
      <c r="P197" s="34">
        <f>_xlfn.LET(_xlpm.horas,J197,_xlpm.feriados,IF($H197="CO",FER_CO,FER_EC),_xlpm.capacidad,NETWORKDAYS(J$3,J$4,_xlpm.feriados)*INDEX(Consultores!$C$6:$C$65,MATCH($A197,Consultores!$A$6:$A$65,0)),IF(_xlpm.horas=0,"",IFERROR(_xlpm.horas/_xlpm.capacidad,"")))</f>
        <v/>
      </c>
      <c r="Q197" s="34">
        <f>_xlfn.LET(_xlpm.horas,K197,_xlpm.feriados,IF($H197="CO",FER_CO,FER_EC),_xlpm.capacidad,NETWORKDAYS(K$3,K$4,_xlpm.feriados)*INDEX(Consultores!$C$6:$C$65,MATCH($A197,Consultores!$A$6:$A$65,0)),IF(_xlpm.horas=0,"",IFERROR(_xlpm.horas/_xlpm.capacidad,"")))</f>
        <v/>
      </c>
      <c r="R197" s="34">
        <f>_xlfn.LET(_xlpm.horas,L197,_xlpm.feriados,IF($H197="CO",FER_CO,FER_EC),_xlpm.capacidad,NETWORKDAYS(L$3,L$4,_xlpm.feriados)*INDEX(Consultores!$C$6:$C$65,MATCH($A197,Consultores!$A$6:$A$65,0)),IF(_xlpm.horas=0,"",IFERROR(_xlpm.horas/_xlpm.capacidad,"")))</f>
        <v/>
      </c>
      <c r="S197" s="34">
        <f>_xlfn.LET(_xlpm.horas,M197,_xlpm.feriados,IF($H197="CO",FER_CO,FER_EC),_xlpm.capacidad,NETWORKDAYS(M$3,M$4,_xlpm.feriados)*INDEX(Consultores!$C$6:$C$65,MATCH($A197,Consultores!$A$6:$A$65,0)),IF(_xlpm.horas=0,"",IFERROR(_xlpm.horas/_xlpm.capacidad,"")))</f>
        <v/>
      </c>
      <c r="T197" s="34">
        <f>_xlfn.LET(_xlpm.horas,N197,_xlpm.feriados,IF($H197="CO",FER_CO,FER_EC),_xlpm.capacidad,NETWORKDAYS(N$3,N$4,_xlpm.feriados)*INDEX(Consultores!$C$6:$C$65,MATCH($A197,Consultores!$A$6:$A$65,0)),IF(_xlpm.horas=0,"",IFERROR(_xlpm.horas/_xlpm.capacidad,"")))</f>
        <v/>
      </c>
      <c r="U197" s="34">
        <f>_xlfn.LET(_xlpm.horas,O197,_xlpm.feriados,IF($H197="CO",FER_CO,FER_EC),_xlpm.capacidad,NETWORKDAYS(O$3,O$4,_xlpm.feriados)*INDEX(Consultores!$C$6:$C$65,MATCH($A197,Consultores!$A$6:$A$65,0)),IF(_xlpm.horas=0,"",IFERROR(_xlpm.horas/_xlpm.capacidad,"")))</f>
        <v/>
      </c>
    </row>
    <row r="198">
      <c r="A198" s="25" t="n"/>
      <c r="B198" s="25" t="n"/>
      <c r="C198" s="25" t="n"/>
      <c r="D198" s="30" t="n"/>
      <c r="E198" s="30" t="n"/>
      <c r="F198" s="26" t="n"/>
      <c r="G198" s="25" t="n"/>
      <c r="H198" s="31">
        <f>IF($A198="","",IFERROR(INDEX(Consultores!$B$6:$B$65,MATCH($A198,Consultores!$A$6:$A$65,0)),"No existe"))</f>
        <v/>
      </c>
      <c r="I198" s="32">
        <f>IF($F198="",0,$F198/5)</f>
        <v/>
      </c>
      <c r="J198" s="33">
        <f>_xlfn.LET(_xlpm.inicio,MAX($D198,J$3),_xlpm.fin,MIN($E198,J$4),_xlpm.feriados,IF($H198="CO",FER_CO,FER_EC),_xlpm.dias,IF(_xlpm.inicio&gt;_xlpm.fin,0,NETWORKDAYS(_xlpm.inicio,_xlpm.fin,_xlpm.feriados)),_xlpm.factor,IF($G198="Probable",IF(Parametros!$B$6="Sí",1,0),1),IF(OR($A198="",$D198="",$E198=""),0,_xlpm.dias*$I198*_xlpm.factor))</f>
        <v/>
      </c>
      <c r="K198" s="33">
        <f>_xlfn.LET(_xlpm.inicio,MAX($D198,K$3),_xlpm.fin,MIN($E198,K$4),_xlpm.feriados,IF($H198="CO",FER_CO,FER_EC),_xlpm.dias,IF(_xlpm.inicio&gt;_xlpm.fin,0,NETWORKDAYS(_xlpm.inicio,_xlpm.fin,_xlpm.feriados)),_xlpm.factor,IF($G198="Probable",IF(Parametros!$B$6="Sí",1,0),1),IF(OR($A198="",$D198="",$E198=""),0,_xlpm.dias*$I198*_xlpm.factor))</f>
        <v/>
      </c>
      <c r="L198" s="33">
        <f>_xlfn.LET(_xlpm.inicio,MAX($D198,L$3),_xlpm.fin,MIN($E198,L$4),_xlpm.feriados,IF($H198="CO",FER_CO,FER_EC),_xlpm.dias,IF(_xlpm.inicio&gt;_xlpm.fin,0,NETWORKDAYS(_xlpm.inicio,_xlpm.fin,_xlpm.feriados)),_xlpm.factor,IF($G198="Probable",IF(Parametros!$B$6="Sí",1,0),1),IF(OR($A198="",$D198="",$E198=""),0,_xlpm.dias*$I198*_xlpm.factor))</f>
        <v/>
      </c>
      <c r="M198" s="33">
        <f>_xlfn.LET(_xlpm.inicio,MAX($D198,M$3),_xlpm.fin,MIN($E198,M$4),_xlpm.feriados,IF($H198="CO",FER_CO,FER_EC),_xlpm.dias,IF(_xlpm.inicio&gt;_xlpm.fin,0,NETWORKDAYS(_xlpm.inicio,_xlpm.fin,_xlpm.feriados)),_xlpm.factor,IF($G198="Probable",IF(Parametros!$B$6="Sí",1,0),1),IF(OR($A198="",$D198="",$E198=""),0,_xlpm.dias*$I198*_xlpm.factor))</f>
        <v/>
      </c>
      <c r="N198" s="33">
        <f>_xlfn.LET(_xlpm.inicio,MAX($D198,N$3),_xlpm.fin,MIN($E198,N$4),_xlpm.feriados,IF($H198="CO",FER_CO,FER_EC),_xlpm.dias,IF(_xlpm.inicio&gt;_xlpm.fin,0,NETWORKDAYS(_xlpm.inicio,_xlpm.fin,_xlpm.feriados)),_xlpm.factor,IF($G198="Probable",IF(Parametros!$B$6="Sí",1,0),1),IF(OR($A198="",$D198="",$E198=""),0,_xlpm.dias*$I198*_xlpm.factor))</f>
        <v/>
      </c>
      <c r="O198" s="33">
        <f>_xlfn.LET(_xlpm.inicio,MAX($D198,O$3),_xlpm.fin,MIN($E198,O$4),_xlpm.feriados,IF($H198="CO",FER_CO,FER_EC),_xlpm.dias,IF(_xlpm.inicio&gt;_xlpm.fin,0,NETWORKDAYS(_xlpm.inicio,_xlpm.fin,_xlpm.feriados)),_xlpm.factor,IF($G198="Probable",IF(Parametros!$B$6="Sí",1,0),1),IF(OR($A198="",$D198="",$E198=""),0,_xlpm.dias*$I198*_xlpm.factor))</f>
        <v/>
      </c>
      <c r="P198" s="34">
        <f>_xlfn.LET(_xlpm.horas,J198,_xlpm.feriados,IF($H198="CO",FER_CO,FER_EC),_xlpm.capacidad,NETWORKDAYS(J$3,J$4,_xlpm.feriados)*INDEX(Consultores!$C$6:$C$65,MATCH($A198,Consultores!$A$6:$A$65,0)),IF(_xlpm.horas=0,"",IFERROR(_xlpm.horas/_xlpm.capacidad,"")))</f>
        <v/>
      </c>
      <c r="Q198" s="34">
        <f>_xlfn.LET(_xlpm.horas,K198,_xlpm.feriados,IF($H198="CO",FER_CO,FER_EC),_xlpm.capacidad,NETWORKDAYS(K$3,K$4,_xlpm.feriados)*INDEX(Consultores!$C$6:$C$65,MATCH($A198,Consultores!$A$6:$A$65,0)),IF(_xlpm.horas=0,"",IFERROR(_xlpm.horas/_xlpm.capacidad,"")))</f>
        <v/>
      </c>
      <c r="R198" s="34">
        <f>_xlfn.LET(_xlpm.horas,L198,_xlpm.feriados,IF($H198="CO",FER_CO,FER_EC),_xlpm.capacidad,NETWORKDAYS(L$3,L$4,_xlpm.feriados)*INDEX(Consultores!$C$6:$C$65,MATCH($A198,Consultores!$A$6:$A$65,0)),IF(_xlpm.horas=0,"",IFERROR(_xlpm.horas/_xlpm.capacidad,"")))</f>
        <v/>
      </c>
      <c r="S198" s="34">
        <f>_xlfn.LET(_xlpm.horas,M198,_xlpm.feriados,IF($H198="CO",FER_CO,FER_EC),_xlpm.capacidad,NETWORKDAYS(M$3,M$4,_xlpm.feriados)*INDEX(Consultores!$C$6:$C$65,MATCH($A198,Consultores!$A$6:$A$65,0)),IF(_xlpm.horas=0,"",IFERROR(_xlpm.horas/_xlpm.capacidad,"")))</f>
        <v/>
      </c>
      <c r="T198" s="34">
        <f>_xlfn.LET(_xlpm.horas,N198,_xlpm.feriados,IF($H198="CO",FER_CO,FER_EC),_xlpm.capacidad,NETWORKDAYS(N$3,N$4,_xlpm.feriados)*INDEX(Consultores!$C$6:$C$65,MATCH($A198,Consultores!$A$6:$A$65,0)),IF(_xlpm.horas=0,"",IFERROR(_xlpm.horas/_xlpm.capacidad,"")))</f>
        <v/>
      </c>
      <c r="U198" s="34">
        <f>_xlfn.LET(_xlpm.horas,O198,_xlpm.feriados,IF($H198="CO",FER_CO,FER_EC),_xlpm.capacidad,NETWORKDAYS(O$3,O$4,_xlpm.feriados)*INDEX(Consultores!$C$6:$C$65,MATCH($A198,Consultores!$A$6:$A$65,0)),IF(_xlpm.horas=0,"",IFERROR(_xlpm.horas/_xlpm.capacidad,"")))</f>
        <v/>
      </c>
    </row>
    <row r="199">
      <c r="A199" s="25" t="n"/>
      <c r="B199" s="25" t="n"/>
      <c r="C199" s="25" t="n"/>
      <c r="D199" s="30" t="n"/>
      <c r="E199" s="30" t="n"/>
      <c r="F199" s="26" t="n"/>
      <c r="G199" s="25" t="n"/>
      <c r="H199" s="31">
        <f>IF($A199="","",IFERROR(INDEX(Consultores!$B$6:$B$65,MATCH($A199,Consultores!$A$6:$A$65,0)),"No existe"))</f>
        <v/>
      </c>
      <c r="I199" s="32">
        <f>IF($F199="",0,$F199/5)</f>
        <v/>
      </c>
      <c r="J199" s="33">
        <f>_xlfn.LET(_xlpm.inicio,MAX($D199,J$3),_xlpm.fin,MIN($E199,J$4),_xlpm.feriados,IF($H199="CO",FER_CO,FER_EC),_xlpm.dias,IF(_xlpm.inicio&gt;_xlpm.fin,0,NETWORKDAYS(_xlpm.inicio,_xlpm.fin,_xlpm.feriados)),_xlpm.factor,IF($G199="Probable",IF(Parametros!$B$6="Sí",1,0),1),IF(OR($A199="",$D199="",$E199=""),0,_xlpm.dias*$I199*_xlpm.factor))</f>
        <v/>
      </c>
      <c r="K199" s="33">
        <f>_xlfn.LET(_xlpm.inicio,MAX($D199,K$3),_xlpm.fin,MIN($E199,K$4),_xlpm.feriados,IF($H199="CO",FER_CO,FER_EC),_xlpm.dias,IF(_xlpm.inicio&gt;_xlpm.fin,0,NETWORKDAYS(_xlpm.inicio,_xlpm.fin,_xlpm.feriados)),_xlpm.factor,IF($G199="Probable",IF(Parametros!$B$6="Sí",1,0),1),IF(OR($A199="",$D199="",$E199=""),0,_xlpm.dias*$I199*_xlpm.factor))</f>
        <v/>
      </c>
      <c r="L199" s="33">
        <f>_xlfn.LET(_xlpm.inicio,MAX($D199,L$3),_xlpm.fin,MIN($E199,L$4),_xlpm.feriados,IF($H199="CO",FER_CO,FER_EC),_xlpm.dias,IF(_xlpm.inicio&gt;_xlpm.fin,0,NETWORKDAYS(_xlpm.inicio,_xlpm.fin,_xlpm.feriados)),_xlpm.factor,IF($G199="Probable",IF(Parametros!$B$6="Sí",1,0),1),IF(OR($A199="",$D199="",$E199=""),0,_xlpm.dias*$I199*_xlpm.factor))</f>
        <v/>
      </c>
      <c r="M199" s="33">
        <f>_xlfn.LET(_xlpm.inicio,MAX($D199,M$3),_xlpm.fin,MIN($E199,M$4),_xlpm.feriados,IF($H199="CO",FER_CO,FER_EC),_xlpm.dias,IF(_xlpm.inicio&gt;_xlpm.fin,0,NETWORKDAYS(_xlpm.inicio,_xlpm.fin,_xlpm.feriados)),_xlpm.factor,IF($G199="Probable",IF(Parametros!$B$6="Sí",1,0),1),IF(OR($A199="",$D199="",$E199=""),0,_xlpm.dias*$I199*_xlpm.factor))</f>
        <v/>
      </c>
      <c r="N199" s="33">
        <f>_xlfn.LET(_xlpm.inicio,MAX($D199,N$3),_xlpm.fin,MIN($E199,N$4),_xlpm.feriados,IF($H199="CO",FER_CO,FER_EC),_xlpm.dias,IF(_xlpm.inicio&gt;_xlpm.fin,0,NETWORKDAYS(_xlpm.inicio,_xlpm.fin,_xlpm.feriados)),_xlpm.factor,IF($G199="Probable",IF(Parametros!$B$6="Sí",1,0),1),IF(OR($A199="",$D199="",$E199=""),0,_xlpm.dias*$I199*_xlpm.factor))</f>
        <v/>
      </c>
      <c r="O199" s="33">
        <f>_xlfn.LET(_xlpm.inicio,MAX($D199,O$3),_xlpm.fin,MIN($E199,O$4),_xlpm.feriados,IF($H199="CO",FER_CO,FER_EC),_xlpm.dias,IF(_xlpm.inicio&gt;_xlpm.fin,0,NETWORKDAYS(_xlpm.inicio,_xlpm.fin,_xlpm.feriados)),_xlpm.factor,IF($G199="Probable",IF(Parametros!$B$6="Sí",1,0),1),IF(OR($A199="",$D199="",$E199=""),0,_xlpm.dias*$I199*_xlpm.factor))</f>
        <v/>
      </c>
      <c r="P199" s="34">
        <f>_xlfn.LET(_xlpm.horas,J199,_xlpm.feriados,IF($H199="CO",FER_CO,FER_EC),_xlpm.capacidad,NETWORKDAYS(J$3,J$4,_xlpm.feriados)*INDEX(Consultores!$C$6:$C$65,MATCH($A199,Consultores!$A$6:$A$65,0)),IF(_xlpm.horas=0,"",IFERROR(_xlpm.horas/_xlpm.capacidad,"")))</f>
        <v/>
      </c>
      <c r="Q199" s="34">
        <f>_xlfn.LET(_xlpm.horas,K199,_xlpm.feriados,IF($H199="CO",FER_CO,FER_EC),_xlpm.capacidad,NETWORKDAYS(K$3,K$4,_xlpm.feriados)*INDEX(Consultores!$C$6:$C$65,MATCH($A199,Consultores!$A$6:$A$65,0)),IF(_xlpm.horas=0,"",IFERROR(_xlpm.horas/_xlpm.capacidad,"")))</f>
        <v/>
      </c>
      <c r="R199" s="34">
        <f>_xlfn.LET(_xlpm.horas,L199,_xlpm.feriados,IF($H199="CO",FER_CO,FER_EC),_xlpm.capacidad,NETWORKDAYS(L$3,L$4,_xlpm.feriados)*INDEX(Consultores!$C$6:$C$65,MATCH($A199,Consultores!$A$6:$A$65,0)),IF(_xlpm.horas=0,"",IFERROR(_xlpm.horas/_xlpm.capacidad,"")))</f>
        <v/>
      </c>
      <c r="S199" s="34">
        <f>_xlfn.LET(_xlpm.horas,M199,_xlpm.feriados,IF($H199="CO",FER_CO,FER_EC),_xlpm.capacidad,NETWORKDAYS(M$3,M$4,_xlpm.feriados)*INDEX(Consultores!$C$6:$C$65,MATCH($A199,Consultores!$A$6:$A$65,0)),IF(_xlpm.horas=0,"",IFERROR(_xlpm.horas/_xlpm.capacidad,"")))</f>
        <v/>
      </c>
      <c r="T199" s="34">
        <f>_xlfn.LET(_xlpm.horas,N199,_xlpm.feriados,IF($H199="CO",FER_CO,FER_EC),_xlpm.capacidad,NETWORKDAYS(N$3,N$4,_xlpm.feriados)*INDEX(Consultores!$C$6:$C$65,MATCH($A199,Consultores!$A$6:$A$65,0)),IF(_xlpm.horas=0,"",IFERROR(_xlpm.horas/_xlpm.capacidad,"")))</f>
        <v/>
      </c>
      <c r="U199" s="34">
        <f>_xlfn.LET(_xlpm.horas,O199,_xlpm.feriados,IF($H199="CO",FER_CO,FER_EC),_xlpm.capacidad,NETWORKDAYS(O$3,O$4,_xlpm.feriados)*INDEX(Consultores!$C$6:$C$65,MATCH($A199,Consultores!$A$6:$A$65,0)),IF(_xlpm.horas=0,"",IFERROR(_xlpm.horas/_xlpm.capacidad,"")))</f>
        <v/>
      </c>
    </row>
    <row r="200">
      <c r="A200" s="25" t="n"/>
      <c r="B200" s="25" t="n"/>
      <c r="C200" s="25" t="n"/>
      <c r="D200" s="30" t="n"/>
      <c r="E200" s="30" t="n"/>
      <c r="F200" s="26" t="n"/>
      <c r="G200" s="25" t="n"/>
      <c r="H200" s="31">
        <f>IF($A200="","",IFERROR(INDEX(Consultores!$B$6:$B$65,MATCH($A200,Consultores!$A$6:$A$65,0)),"No existe"))</f>
        <v/>
      </c>
      <c r="I200" s="32">
        <f>IF($F200="",0,$F200/5)</f>
        <v/>
      </c>
      <c r="J200" s="33">
        <f>_xlfn.LET(_xlpm.inicio,MAX($D200,J$3),_xlpm.fin,MIN($E200,J$4),_xlpm.feriados,IF($H200="CO",FER_CO,FER_EC),_xlpm.dias,IF(_xlpm.inicio&gt;_xlpm.fin,0,NETWORKDAYS(_xlpm.inicio,_xlpm.fin,_xlpm.feriados)),_xlpm.factor,IF($G200="Probable",IF(Parametros!$B$6="Sí",1,0),1),IF(OR($A200="",$D200="",$E200=""),0,_xlpm.dias*$I200*_xlpm.factor))</f>
        <v/>
      </c>
      <c r="K200" s="33">
        <f>_xlfn.LET(_xlpm.inicio,MAX($D200,K$3),_xlpm.fin,MIN($E200,K$4),_xlpm.feriados,IF($H200="CO",FER_CO,FER_EC),_xlpm.dias,IF(_xlpm.inicio&gt;_xlpm.fin,0,NETWORKDAYS(_xlpm.inicio,_xlpm.fin,_xlpm.feriados)),_xlpm.factor,IF($G200="Probable",IF(Parametros!$B$6="Sí",1,0),1),IF(OR($A200="",$D200="",$E200=""),0,_xlpm.dias*$I200*_xlpm.factor))</f>
        <v/>
      </c>
      <c r="L200" s="33">
        <f>_xlfn.LET(_xlpm.inicio,MAX($D200,L$3),_xlpm.fin,MIN($E200,L$4),_xlpm.feriados,IF($H200="CO",FER_CO,FER_EC),_xlpm.dias,IF(_xlpm.inicio&gt;_xlpm.fin,0,NETWORKDAYS(_xlpm.inicio,_xlpm.fin,_xlpm.feriados)),_xlpm.factor,IF($G200="Probable",IF(Parametros!$B$6="Sí",1,0),1),IF(OR($A200="",$D200="",$E200=""),0,_xlpm.dias*$I200*_xlpm.factor))</f>
        <v/>
      </c>
      <c r="M200" s="33">
        <f>_xlfn.LET(_xlpm.inicio,MAX($D200,M$3),_xlpm.fin,MIN($E200,M$4),_xlpm.feriados,IF($H200="CO",FER_CO,FER_EC),_xlpm.dias,IF(_xlpm.inicio&gt;_xlpm.fin,0,NETWORKDAYS(_xlpm.inicio,_xlpm.fin,_xlpm.feriados)),_xlpm.factor,IF($G200="Probable",IF(Parametros!$B$6="Sí",1,0),1),IF(OR($A200="",$D200="",$E200=""),0,_xlpm.dias*$I200*_xlpm.factor))</f>
        <v/>
      </c>
      <c r="N200" s="33">
        <f>_xlfn.LET(_xlpm.inicio,MAX($D200,N$3),_xlpm.fin,MIN($E200,N$4),_xlpm.feriados,IF($H200="CO",FER_CO,FER_EC),_xlpm.dias,IF(_xlpm.inicio&gt;_xlpm.fin,0,NETWORKDAYS(_xlpm.inicio,_xlpm.fin,_xlpm.feriados)),_xlpm.factor,IF($G200="Probable",IF(Parametros!$B$6="Sí",1,0),1),IF(OR($A200="",$D200="",$E200=""),0,_xlpm.dias*$I200*_xlpm.factor))</f>
        <v/>
      </c>
      <c r="O200" s="33">
        <f>_xlfn.LET(_xlpm.inicio,MAX($D200,O$3),_xlpm.fin,MIN($E200,O$4),_xlpm.feriados,IF($H200="CO",FER_CO,FER_EC),_xlpm.dias,IF(_xlpm.inicio&gt;_xlpm.fin,0,NETWORKDAYS(_xlpm.inicio,_xlpm.fin,_xlpm.feriados)),_xlpm.factor,IF($G200="Probable",IF(Parametros!$B$6="Sí",1,0),1),IF(OR($A200="",$D200="",$E200=""),0,_xlpm.dias*$I200*_xlpm.factor))</f>
        <v/>
      </c>
      <c r="P200" s="34">
        <f>_xlfn.LET(_xlpm.horas,J200,_xlpm.feriados,IF($H200="CO",FER_CO,FER_EC),_xlpm.capacidad,NETWORKDAYS(J$3,J$4,_xlpm.feriados)*INDEX(Consultores!$C$6:$C$65,MATCH($A200,Consultores!$A$6:$A$65,0)),IF(_xlpm.horas=0,"",IFERROR(_xlpm.horas/_xlpm.capacidad,"")))</f>
        <v/>
      </c>
      <c r="Q200" s="34">
        <f>_xlfn.LET(_xlpm.horas,K200,_xlpm.feriados,IF($H200="CO",FER_CO,FER_EC),_xlpm.capacidad,NETWORKDAYS(K$3,K$4,_xlpm.feriados)*INDEX(Consultores!$C$6:$C$65,MATCH($A200,Consultores!$A$6:$A$65,0)),IF(_xlpm.horas=0,"",IFERROR(_xlpm.horas/_xlpm.capacidad,"")))</f>
        <v/>
      </c>
      <c r="R200" s="34">
        <f>_xlfn.LET(_xlpm.horas,L200,_xlpm.feriados,IF($H200="CO",FER_CO,FER_EC),_xlpm.capacidad,NETWORKDAYS(L$3,L$4,_xlpm.feriados)*INDEX(Consultores!$C$6:$C$65,MATCH($A200,Consultores!$A$6:$A$65,0)),IF(_xlpm.horas=0,"",IFERROR(_xlpm.horas/_xlpm.capacidad,"")))</f>
        <v/>
      </c>
      <c r="S200" s="34">
        <f>_xlfn.LET(_xlpm.horas,M200,_xlpm.feriados,IF($H200="CO",FER_CO,FER_EC),_xlpm.capacidad,NETWORKDAYS(M$3,M$4,_xlpm.feriados)*INDEX(Consultores!$C$6:$C$65,MATCH($A200,Consultores!$A$6:$A$65,0)),IF(_xlpm.horas=0,"",IFERROR(_xlpm.horas/_xlpm.capacidad,"")))</f>
        <v/>
      </c>
      <c r="T200" s="34">
        <f>_xlfn.LET(_xlpm.horas,N200,_xlpm.feriados,IF($H200="CO",FER_CO,FER_EC),_xlpm.capacidad,NETWORKDAYS(N$3,N$4,_xlpm.feriados)*INDEX(Consultores!$C$6:$C$65,MATCH($A200,Consultores!$A$6:$A$65,0)),IF(_xlpm.horas=0,"",IFERROR(_xlpm.horas/_xlpm.capacidad,"")))</f>
        <v/>
      </c>
      <c r="U200" s="34">
        <f>_xlfn.LET(_xlpm.horas,O200,_xlpm.feriados,IF($H200="CO",FER_CO,FER_EC),_xlpm.capacidad,NETWORKDAYS(O$3,O$4,_xlpm.feriados)*INDEX(Consultores!$C$6:$C$65,MATCH($A200,Consultores!$A$6:$A$65,0)),IF(_xlpm.horas=0,"",IFERROR(_xlpm.horas/_xlpm.capacidad,"")))</f>
        <v/>
      </c>
    </row>
    <row r="201">
      <c r="A201" s="25" t="n"/>
      <c r="B201" s="25" t="n"/>
      <c r="C201" s="25" t="n"/>
      <c r="D201" s="30" t="n"/>
      <c r="E201" s="30" t="n"/>
      <c r="F201" s="26" t="n"/>
      <c r="G201" s="25" t="n"/>
      <c r="H201" s="31">
        <f>IF($A201="","",IFERROR(INDEX(Consultores!$B$6:$B$65,MATCH($A201,Consultores!$A$6:$A$65,0)),"No existe"))</f>
        <v/>
      </c>
      <c r="I201" s="32">
        <f>IF($F201="",0,$F201/5)</f>
        <v/>
      </c>
      <c r="J201" s="33">
        <f>_xlfn.LET(_xlpm.inicio,MAX($D201,J$3),_xlpm.fin,MIN($E201,J$4),_xlpm.feriados,IF($H201="CO",FER_CO,FER_EC),_xlpm.dias,IF(_xlpm.inicio&gt;_xlpm.fin,0,NETWORKDAYS(_xlpm.inicio,_xlpm.fin,_xlpm.feriados)),_xlpm.factor,IF($G201="Probable",IF(Parametros!$B$6="Sí",1,0),1),IF(OR($A201="",$D201="",$E201=""),0,_xlpm.dias*$I201*_xlpm.factor))</f>
        <v/>
      </c>
      <c r="K201" s="33">
        <f>_xlfn.LET(_xlpm.inicio,MAX($D201,K$3),_xlpm.fin,MIN($E201,K$4),_xlpm.feriados,IF($H201="CO",FER_CO,FER_EC),_xlpm.dias,IF(_xlpm.inicio&gt;_xlpm.fin,0,NETWORKDAYS(_xlpm.inicio,_xlpm.fin,_xlpm.feriados)),_xlpm.factor,IF($G201="Probable",IF(Parametros!$B$6="Sí",1,0),1),IF(OR($A201="",$D201="",$E201=""),0,_xlpm.dias*$I201*_xlpm.factor))</f>
        <v/>
      </c>
      <c r="L201" s="33">
        <f>_xlfn.LET(_xlpm.inicio,MAX($D201,L$3),_xlpm.fin,MIN($E201,L$4),_xlpm.feriados,IF($H201="CO",FER_CO,FER_EC),_xlpm.dias,IF(_xlpm.inicio&gt;_xlpm.fin,0,NETWORKDAYS(_xlpm.inicio,_xlpm.fin,_xlpm.feriados)),_xlpm.factor,IF($G201="Probable",IF(Parametros!$B$6="Sí",1,0),1),IF(OR($A201="",$D201="",$E201=""),0,_xlpm.dias*$I201*_xlpm.factor))</f>
        <v/>
      </c>
      <c r="M201" s="33">
        <f>_xlfn.LET(_xlpm.inicio,MAX($D201,M$3),_xlpm.fin,MIN($E201,M$4),_xlpm.feriados,IF($H201="CO",FER_CO,FER_EC),_xlpm.dias,IF(_xlpm.inicio&gt;_xlpm.fin,0,NETWORKDAYS(_xlpm.inicio,_xlpm.fin,_xlpm.feriados)),_xlpm.factor,IF($G201="Probable",IF(Parametros!$B$6="Sí",1,0),1),IF(OR($A201="",$D201="",$E201=""),0,_xlpm.dias*$I201*_xlpm.factor))</f>
        <v/>
      </c>
      <c r="N201" s="33">
        <f>_xlfn.LET(_xlpm.inicio,MAX($D201,N$3),_xlpm.fin,MIN($E201,N$4),_xlpm.feriados,IF($H201="CO",FER_CO,FER_EC),_xlpm.dias,IF(_xlpm.inicio&gt;_xlpm.fin,0,NETWORKDAYS(_xlpm.inicio,_xlpm.fin,_xlpm.feriados)),_xlpm.factor,IF($G201="Probable",IF(Parametros!$B$6="Sí",1,0),1),IF(OR($A201="",$D201="",$E201=""),0,_xlpm.dias*$I201*_xlpm.factor))</f>
        <v/>
      </c>
      <c r="O201" s="33">
        <f>_xlfn.LET(_xlpm.inicio,MAX($D201,O$3),_xlpm.fin,MIN($E201,O$4),_xlpm.feriados,IF($H201="CO",FER_CO,FER_EC),_xlpm.dias,IF(_xlpm.inicio&gt;_xlpm.fin,0,NETWORKDAYS(_xlpm.inicio,_xlpm.fin,_xlpm.feriados)),_xlpm.factor,IF($G201="Probable",IF(Parametros!$B$6="Sí",1,0),1),IF(OR($A201="",$D201="",$E201=""),0,_xlpm.dias*$I201*_xlpm.factor))</f>
        <v/>
      </c>
      <c r="P201" s="34">
        <f>_xlfn.LET(_xlpm.horas,J201,_xlpm.feriados,IF($H201="CO",FER_CO,FER_EC),_xlpm.capacidad,NETWORKDAYS(J$3,J$4,_xlpm.feriados)*INDEX(Consultores!$C$6:$C$65,MATCH($A201,Consultores!$A$6:$A$65,0)),IF(_xlpm.horas=0,"",IFERROR(_xlpm.horas/_xlpm.capacidad,"")))</f>
        <v/>
      </c>
      <c r="Q201" s="34">
        <f>_xlfn.LET(_xlpm.horas,K201,_xlpm.feriados,IF($H201="CO",FER_CO,FER_EC),_xlpm.capacidad,NETWORKDAYS(K$3,K$4,_xlpm.feriados)*INDEX(Consultores!$C$6:$C$65,MATCH($A201,Consultores!$A$6:$A$65,0)),IF(_xlpm.horas=0,"",IFERROR(_xlpm.horas/_xlpm.capacidad,"")))</f>
        <v/>
      </c>
      <c r="R201" s="34">
        <f>_xlfn.LET(_xlpm.horas,L201,_xlpm.feriados,IF($H201="CO",FER_CO,FER_EC),_xlpm.capacidad,NETWORKDAYS(L$3,L$4,_xlpm.feriados)*INDEX(Consultores!$C$6:$C$65,MATCH($A201,Consultores!$A$6:$A$65,0)),IF(_xlpm.horas=0,"",IFERROR(_xlpm.horas/_xlpm.capacidad,"")))</f>
        <v/>
      </c>
      <c r="S201" s="34">
        <f>_xlfn.LET(_xlpm.horas,M201,_xlpm.feriados,IF($H201="CO",FER_CO,FER_EC),_xlpm.capacidad,NETWORKDAYS(M$3,M$4,_xlpm.feriados)*INDEX(Consultores!$C$6:$C$65,MATCH($A201,Consultores!$A$6:$A$65,0)),IF(_xlpm.horas=0,"",IFERROR(_xlpm.horas/_xlpm.capacidad,"")))</f>
        <v/>
      </c>
      <c r="T201" s="34">
        <f>_xlfn.LET(_xlpm.horas,N201,_xlpm.feriados,IF($H201="CO",FER_CO,FER_EC),_xlpm.capacidad,NETWORKDAYS(N$3,N$4,_xlpm.feriados)*INDEX(Consultores!$C$6:$C$65,MATCH($A201,Consultores!$A$6:$A$65,0)),IF(_xlpm.horas=0,"",IFERROR(_xlpm.horas/_xlpm.capacidad,"")))</f>
        <v/>
      </c>
      <c r="U201" s="34">
        <f>_xlfn.LET(_xlpm.horas,O201,_xlpm.feriados,IF($H201="CO",FER_CO,FER_EC),_xlpm.capacidad,NETWORKDAYS(O$3,O$4,_xlpm.feriados)*INDEX(Consultores!$C$6:$C$65,MATCH($A201,Consultores!$A$6:$A$65,0)),IF(_xlpm.horas=0,"",IFERROR(_xlpm.horas/_xlpm.capacidad,"")))</f>
        <v/>
      </c>
    </row>
    <row r="202">
      <c r="A202" s="25" t="n"/>
      <c r="B202" s="25" t="n"/>
      <c r="C202" s="25" t="n"/>
      <c r="D202" s="30" t="n"/>
      <c r="E202" s="30" t="n"/>
      <c r="F202" s="26" t="n"/>
      <c r="G202" s="25" t="n"/>
      <c r="H202" s="31">
        <f>IF($A202="","",IFERROR(INDEX(Consultores!$B$6:$B$65,MATCH($A202,Consultores!$A$6:$A$65,0)),"No existe"))</f>
        <v/>
      </c>
      <c r="I202" s="32">
        <f>IF($F202="",0,$F202/5)</f>
        <v/>
      </c>
      <c r="J202" s="33">
        <f>_xlfn.LET(_xlpm.inicio,MAX($D202,J$3),_xlpm.fin,MIN($E202,J$4),_xlpm.feriados,IF($H202="CO",FER_CO,FER_EC),_xlpm.dias,IF(_xlpm.inicio&gt;_xlpm.fin,0,NETWORKDAYS(_xlpm.inicio,_xlpm.fin,_xlpm.feriados)),_xlpm.factor,IF($G202="Probable",IF(Parametros!$B$6="Sí",1,0),1),IF(OR($A202="",$D202="",$E202=""),0,_xlpm.dias*$I202*_xlpm.factor))</f>
        <v/>
      </c>
      <c r="K202" s="33">
        <f>_xlfn.LET(_xlpm.inicio,MAX($D202,K$3),_xlpm.fin,MIN($E202,K$4),_xlpm.feriados,IF($H202="CO",FER_CO,FER_EC),_xlpm.dias,IF(_xlpm.inicio&gt;_xlpm.fin,0,NETWORKDAYS(_xlpm.inicio,_xlpm.fin,_xlpm.feriados)),_xlpm.factor,IF($G202="Probable",IF(Parametros!$B$6="Sí",1,0),1),IF(OR($A202="",$D202="",$E202=""),0,_xlpm.dias*$I202*_xlpm.factor))</f>
        <v/>
      </c>
      <c r="L202" s="33">
        <f>_xlfn.LET(_xlpm.inicio,MAX($D202,L$3),_xlpm.fin,MIN($E202,L$4),_xlpm.feriados,IF($H202="CO",FER_CO,FER_EC),_xlpm.dias,IF(_xlpm.inicio&gt;_xlpm.fin,0,NETWORKDAYS(_xlpm.inicio,_xlpm.fin,_xlpm.feriados)),_xlpm.factor,IF($G202="Probable",IF(Parametros!$B$6="Sí",1,0),1),IF(OR($A202="",$D202="",$E202=""),0,_xlpm.dias*$I202*_xlpm.factor))</f>
        <v/>
      </c>
      <c r="M202" s="33">
        <f>_xlfn.LET(_xlpm.inicio,MAX($D202,M$3),_xlpm.fin,MIN($E202,M$4),_xlpm.feriados,IF($H202="CO",FER_CO,FER_EC),_xlpm.dias,IF(_xlpm.inicio&gt;_xlpm.fin,0,NETWORKDAYS(_xlpm.inicio,_xlpm.fin,_xlpm.feriados)),_xlpm.factor,IF($G202="Probable",IF(Parametros!$B$6="Sí",1,0),1),IF(OR($A202="",$D202="",$E202=""),0,_xlpm.dias*$I202*_xlpm.factor))</f>
        <v/>
      </c>
      <c r="N202" s="33">
        <f>_xlfn.LET(_xlpm.inicio,MAX($D202,N$3),_xlpm.fin,MIN($E202,N$4),_xlpm.feriados,IF($H202="CO",FER_CO,FER_EC),_xlpm.dias,IF(_xlpm.inicio&gt;_xlpm.fin,0,NETWORKDAYS(_xlpm.inicio,_xlpm.fin,_xlpm.feriados)),_xlpm.factor,IF($G202="Probable",IF(Parametros!$B$6="Sí",1,0),1),IF(OR($A202="",$D202="",$E202=""),0,_xlpm.dias*$I202*_xlpm.factor))</f>
        <v/>
      </c>
      <c r="O202" s="33">
        <f>_xlfn.LET(_xlpm.inicio,MAX($D202,O$3),_xlpm.fin,MIN($E202,O$4),_xlpm.feriados,IF($H202="CO",FER_CO,FER_EC),_xlpm.dias,IF(_xlpm.inicio&gt;_xlpm.fin,0,NETWORKDAYS(_xlpm.inicio,_xlpm.fin,_xlpm.feriados)),_xlpm.factor,IF($G202="Probable",IF(Parametros!$B$6="Sí",1,0),1),IF(OR($A202="",$D202="",$E202=""),0,_xlpm.dias*$I202*_xlpm.factor))</f>
        <v/>
      </c>
      <c r="P202" s="34">
        <f>_xlfn.LET(_xlpm.horas,J202,_xlpm.feriados,IF($H202="CO",FER_CO,FER_EC),_xlpm.capacidad,NETWORKDAYS(J$3,J$4,_xlpm.feriados)*INDEX(Consultores!$C$6:$C$65,MATCH($A202,Consultores!$A$6:$A$65,0)),IF(_xlpm.horas=0,"",IFERROR(_xlpm.horas/_xlpm.capacidad,"")))</f>
        <v/>
      </c>
      <c r="Q202" s="34">
        <f>_xlfn.LET(_xlpm.horas,K202,_xlpm.feriados,IF($H202="CO",FER_CO,FER_EC),_xlpm.capacidad,NETWORKDAYS(K$3,K$4,_xlpm.feriados)*INDEX(Consultores!$C$6:$C$65,MATCH($A202,Consultores!$A$6:$A$65,0)),IF(_xlpm.horas=0,"",IFERROR(_xlpm.horas/_xlpm.capacidad,"")))</f>
        <v/>
      </c>
      <c r="R202" s="34">
        <f>_xlfn.LET(_xlpm.horas,L202,_xlpm.feriados,IF($H202="CO",FER_CO,FER_EC),_xlpm.capacidad,NETWORKDAYS(L$3,L$4,_xlpm.feriados)*INDEX(Consultores!$C$6:$C$65,MATCH($A202,Consultores!$A$6:$A$65,0)),IF(_xlpm.horas=0,"",IFERROR(_xlpm.horas/_xlpm.capacidad,"")))</f>
        <v/>
      </c>
      <c r="S202" s="34">
        <f>_xlfn.LET(_xlpm.horas,M202,_xlpm.feriados,IF($H202="CO",FER_CO,FER_EC),_xlpm.capacidad,NETWORKDAYS(M$3,M$4,_xlpm.feriados)*INDEX(Consultores!$C$6:$C$65,MATCH($A202,Consultores!$A$6:$A$65,0)),IF(_xlpm.horas=0,"",IFERROR(_xlpm.horas/_xlpm.capacidad,"")))</f>
        <v/>
      </c>
      <c r="T202" s="34">
        <f>_xlfn.LET(_xlpm.horas,N202,_xlpm.feriados,IF($H202="CO",FER_CO,FER_EC),_xlpm.capacidad,NETWORKDAYS(N$3,N$4,_xlpm.feriados)*INDEX(Consultores!$C$6:$C$65,MATCH($A202,Consultores!$A$6:$A$65,0)),IF(_xlpm.horas=0,"",IFERROR(_xlpm.horas/_xlpm.capacidad,"")))</f>
        <v/>
      </c>
      <c r="U202" s="34">
        <f>_xlfn.LET(_xlpm.horas,O202,_xlpm.feriados,IF($H202="CO",FER_CO,FER_EC),_xlpm.capacidad,NETWORKDAYS(O$3,O$4,_xlpm.feriados)*INDEX(Consultores!$C$6:$C$65,MATCH($A202,Consultores!$A$6:$A$65,0)),IF(_xlpm.horas=0,"",IFERROR(_xlpm.horas/_xlpm.capacidad,"")))</f>
        <v/>
      </c>
    </row>
    <row r="203">
      <c r="A203" s="25" t="n"/>
      <c r="B203" s="25" t="n"/>
      <c r="C203" s="25" t="n"/>
      <c r="D203" s="30" t="n"/>
      <c r="E203" s="30" t="n"/>
      <c r="F203" s="26" t="n"/>
      <c r="G203" s="25" t="n"/>
      <c r="H203" s="31">
        <f>IF($A203="","",IFERROR(INDEX(Consultores!$B$6:$B$65,MATCH($A203,Consultores!$A$6:$A$65,0)),"No existe"))</f>
        <v/>
      </c>
      <c r="I203" s="32">
        <f>IF($F203="",0,$F203/5)</f>
        <v/>
      </c>
      <c r="J203" s="33">
        <f>_xlfn.LET(_xlpm.inicio,MAX($D203,J$3),_xlpm.fin,MIN($E203,J$4),_xlpm.feriados,IF($H203="CO",FER_CO,FER_EC),_xlpm.dias,IF(_xlpm.inicio&gt;_xlpm.fin,0,NETWORKDAYS(_xlpm.inicio,_xlpm.fin,_xlpm.feriados)),_xlpm.factor,IF($G203="Probable",IF(Parametros!$B$6="Sí",1,0),1),IF(OR($A203="",$D203="",$E203=""),0,_xlpm.dias*$I203*_xlpm.factor))</f>
        <v/>
      </c>
      <c r="K203" s="33">
        <f>_xlfn.LET(_xlpm.inicio,MAX($D203,K$3),_xlpm.fin,MIN($E203,K$4),_xlpm.feriados,IF($H203="CO",FER_CO,FER_EC),_xlpm.dias,IF(_xlpm.inicio&gt;_xlpm.fin,0,NETWORKDAYS(_xlpm.inicio,_xlpm.fin,_xlpm.feriados)),_xlpm.factor,IF($G203="Probable",IF(Parametros!$B$6="Sí",1,0),1),IF(OR($A203="",$D203="",$E203=""),0,_xlpm.dias*$I203*_xlpm.factor))</f>
        <v/>
      </c>
      <c r="L203" s="33">
        <f>_xlfn.LET(_xlpm.inicio,MAX($D203,L$3),_xlpm.fin,MIN($E203,L$4),_xlpm.feriados,IF($H203="CO",FER_CO,FER_EC),_xlpm.dias,IF(_xlpm.inicio&gt;_xlpm.fin,0,NETWORKDAYS(_xlpm.inicio,_xlpm.fin,_xlpm.feriados)),_xlpm.factor,IF($G203="Probable",IF(Parametros!$B$6="Sí",1,0),1),IF(OR($A203="",$D203="",$E203=""),0,_xlpm.dias*$I203*_xlpm.factor))</f>
        <v/>
      </c>
      <c r="M203" s="33">
        <f>_xlfn.LET(_xlpm.inicio,MAX($D203,M$3),_xlpm.fin,MIN($E203,M$4),_xlpm.feriados,IF($H203="CO",FER_CO,FER_EC),_xlpm.dias,IF(_xlpm.inicio&gt;_xlpm.fin,0,NETWORKDAYS(_xlpm.inicio,_xlpm.fin,_xlpm.feriados)),_xlpm.factor,IF($G203="Probable",IF(Parametros!$B$6="Sí",1,0),1),IF(OR($A203="",$D203="",$E203=""),0,_xlpm.dias*$I203*_xlpm.factor))</f>
        <v/>
      </c>
      <c r="N203" s="33">
        <f>_xlfn.LET(_xlpm.inicio,MAX($D203,N$3),_xlpm.fin,MIN($E203,N$4),_xlpm.feriados,IF($H203="CO",FER_CO,FER_EC),_xlpm.dias,IF(_xlpm.inicio&gt;_xlpm.fin,0,NETWORKDAYS(_xlpm.inicio,_xlpm.fin,_xlpm.feriados)),_xlpm.factor,IF($G203="Probable",IF(Parametros!$B$6="Sí",1,0),1),IF(OR($A203="",$D203="",$E203=""),0,_xlpm.dias*$I203*_xlpm.factor))</f>
        <v/>
      </c>
      <c r="O203" s="33">
        <f>_xlfn.LET(_xlpm.inicio,MAX($D203,O$3),_xlpm.fin,MIN($E203,O$4),_xlpm.feriados,IF($H203="CO",FER_CO,FER_EC),_xlpm.dias,IF(_xlpm.inicio&gt;_xlpm.fin,0,NETWORKDAYS(_xlpm.inicio,_xlpm.fin,_xlpm.feriados)),_xlpm.factor,IF($G203="Probable",IF(Parametros!$B$6="Sí",1,0),1),IF(OR($A203="",$D203="",$E203=""),0,_xlpm.dias*$I203*_xlpm.factor))</f>
        <v/>
      </c>
      <c r="P203" s="34">
        <f>_xlfn.LET(_xlpm.horas,J203,_xlpm.feriados,IF($H203="CO",FER_CO,FER_EC),_xlpm.capacidad,NETWORKDAYS(J$3,J$4,_xlpm.feriados)*INDEX(Consultores!$C$6:$C$65,MATCH($A203,Consultores!$A$6:$A$65,0)),IF(_xlpm.horas=0,"",IFERROR(_xlpm.horas/_xlpm.capacidad,"")))</f>
        <v/>
      </c>
      <c r="Q203" s="34">
        <f>_xlfn.LET(_xlpm.horas,K203,_xlpm.feriados,IF($H203="CO",FER_CO,FER_EC),_xlpm.capacidad,NETWORKDAYS(K$3,K$4,_xlpm.feriados)*INDEX(Consultores!$C$6:$C$65,MATCH($A203,Consultores!$A$6:$A$65,0)),IF(_xlpm.horas=0,"",IFERROR(_xlpm.horas/_xlpm.capacidad,"")))</f>
        <v/>
      </c>
      <c r="R203" s="34">
        <f>_xlfn.LET(_xlpm.horas,L203,_xlpm.feriados,IF($H203="CO",FER_CO,FER_EC),_xlpm.capacidad,NETWORKDAYS(L$3,L$4,_xlpm.feriados)*INDEX(Consultores!$C$6:$C$65,MATCH($A203,Consultores!$A$6:$A$65,0)),IF(_xlpm.horas=0,"",IFERROR(_xlpm.horas/_xlpm.capacidad,"")))</f>
        <v/>
      </c>
      <c r="S203" s="34">
        <f>_xlfn.LET(_xlpm.horas,M203,_xlpm.feriados,IF($H203="CO",FER_CO,FER_EC),_xlpm.capacidad,NETWORKDAYS(M$3,M$4,_xlpm.feriados)*INDEX(Consultores!$C$6:$C$65,MATCH($A203,Consultores!$A$6:$A$65,0)),IF(_xlpm.horas=0,"",IFERROR(_xlpm.horas/_xlpm.capacidad,"")))</f>
        <v/>
      </c>
      <c r="T203" s="34">
        <f>_xlfn.LET(_xlpm.horas,N203,_xlpm.feriados,IF($H203="CO",FER_CO,FER_EC),_xlpm.capacidad,NETWORKDAYS(N$3,N$4,_xlpm.feriados)*INDEX(Consultores!$C$6:$C$65,MATCH($A203,Consultores!$A$6:$A$65,0)),IF(_xlpm.horas=0,"",IFERROR(_xlpm.horas/_xlpm.capacidad,"")))</f>
        <v/>
      </c>
      <c r="U203" s="34">
        <f>_xlfn.LET(_xlpm.horas,O203,_xlpm.feriados,IF($H203="CO",FER_CO,FER_EC),_xlpm.capacidad,NETWORKDAYS(O$3,O$4,_xlpm.feriados)*INDEX(Consultores!$C$6:$C$65,MATCH($A203,Consultores!$A$6:$A$65,0)),IF(_xlpm.horas=0,"",IFERROR(_xlpm.horas/_xlpm.capacidad,"")))</f>
        <v/>
      </c>
    </row>
    <row r="204">
      <c r="A204" s="25" t="n"/>
      <c r="B204" s="25" t="n"/>
      <c r="C204" s="25" t="n"/>
      <c r="D204" s="30" t="n"/>
      <c r="E204" s="30" t="n"/>
      <c r="F204" s="26" t="n"/>
      <c r="G204" s="25" t="n"/>
      <c r="H204" s="31">
        <f>IF($A204="","",IFERROR(INDEX(Consultores!$B$6:$B$65,MATCH($A204,Consultores!$A$6:$A$65,0)),"No existe"))</f>
        <v/>
      </c>
      <c r="I204" s="32">
        <f>IF($F204="",0,$F204/5)</f>
        <v/>
      </c>
      <c r="J204" s="33">
        <f>_xlfn.LET(_xlpm.inicio,MAX($D204,J$3),_xlpm.fin,MIN($E204,J$4),_xlpm.feriados,IF($H204="CO",FER_CO,FER_EC),_xlpm.dias,IF(_xlpm.inicio&gt;_xlpm.fin,0,NETWORKDAYS(_xlpm.inicio,_xlpm.fin,_xlpm.feriados)),_xlpm.factor,IF($G204="Probable",IF(Parametros!$B$6="Sí",1,0),1),IF(OR($A204="",$D204="",$E204=""),0,_xlpm.dias*$I204*_xlpm.factor))</f>
        <v/>
      </c>
      <c r="K204" s="33">
        <f>_xlfn.LET(_xlpm.inicio,MAX($D204,K$3),_xlpm.fin,MIN($E204,K$4),_xlpm.feriados,IF($H204="CO",FER_CO,FER_EC),_xlpm.dias,IF(_xlpm.inicio&gt;_xlpm.fin,0,NETWORKDAYS(_xlpm.inicio,_xlpm.fin,_xlpm.feriados)),_xlpm.factor,IF($G204="Probable",IF(Parametros!$B$6="Sí",1,0),1),IF(OR($A204="",$D204="",$E204=""),0,_xlpm.dias*$I204*_xlpm.factor))</f>
        <v/>
      </c>
      <c r="L204" s="33">
        <f>_xlfn.LET(_xlpm.inicio,MAX($D204,L$3),_xlpm.fin,MIN($E204,L$4),_xlpm.feriados,IF($H204="CO",FER_CO,FER_EC),_xlpm.dias,IF(_xlpm.inicio&gt;_xlpm.fin,0,NETWORKDAYS(_xlpm.inicio,_xlpm.fin,_xlpm.feriados)),_xlpm.factor,IF($G204="Probable",IF(Parametros!$B$6="Sí",1,0),1),IF(OR($A204="",$D204="",$E204=""),0,_xlpm.dias*$I204*_xlpm.factor))</f>
        <v/>
      </c>
      <c r="M204" s="33">
        <f>_xlfn.LET(_xlpm.inicio,MAX($D204,M$3),_xlpm.fin,MIN($E204,M$4),_xlpm.feriados,IF($H204="CO",FER_CO,FER_EC),_xlpm.dias,IF(_xlpm.inicio&gt;_xlpm.fin,0,NETWORKDAYS(_xlpm.inicio,_xlpm.fin,_xlpm.feriados)),_xlpm.factor,IF($G204="Probable",IF(Parametros!$B$6="Sí",1,0),1),IF(OR($A204="",$D204="",$E204=""),0,_xlpm.dias*$I204*_xlpm.factor))</f>
        <v/>
      </c>
      <c r="N204" s="33">
        <f>_xlfn.LET(_xlpm.inicio,MAX($D204,N$3),_xlpm.fin,MIN($E204,N$4),_xlpm.feriados,IF($H204="CO",FER_CO,FER_EC),_xlpm.dias,IF(_xlpm.inicio&gt;_xlpm.fin,0,NETWORKDAYS(_xlpm.inicio,_xlpm.fin,_xlpm.feriados)),_xlpm.factor,IF($G204="Probable",IF(Parametros!$B$6="Sí",1,0),1),IF(OR($A204="",$D204="",$E204=""),0,_xlpm.dias*$I204*_xlpm.factor))</f>
        <v/>
      </c>
      <c r="O204" s="33">
        <f>_xlfn.LET(_xlpm.inicio,MAX($D204,O$3),_xlpm.fin,MIN($E204,O$4),_xlpm.feriados,IF($H204="CO",FER_CO,FER_EC),_xlpm.dias,IF(_xlpm.inicio&gt;_xlpm.fin,0,NETWORKDAYS(_xlpm.inicio,_xlpm.fin,_xlpm.feriados)),_xlpm.factor,IF($G204="Probable",IF(Parametros!$B$6="Sí",1,0),1),IF(OR($A204="",$D204="",$E204=""),0,_xlpm.dias*$I204*_xlpm.factor))</f>
        <v/>
      </c>
      <c r="P204" s="34">
        <f>_xlfn.LET(_xlpm.horas,J204,_xlpm.feriados,IF($H204="CO",FER_CO,FER_EC),_xlpm.capacidad,NETWORKDAYS(J$3,J$4,_xlpm.feriados)*INDEX(Consultores!$C$6:$C$65,MATCH($A204,Consultores!$A$6:$A$65,0)),IF(_xlpm.horas=0,"",IFERROR(_xlpm.horas/_xlpm.capacidad,"")))</f>
        <v/>
      </c>
      <c r="Q204" s="34">
        <f>_xlfn.LET(_xlpm.horas,K204,_xlpm.feriados,IF($H204="CO",FER_CO,FER_EC),_xlpm.capacidad,NETWORKDAYS(K$3,K$4,_xlpm.feriados)*INDEX(Consultores!$C$6:$C$65,MATCH($A204,Consultores!$A$6:$A$65,0)),IF(_xlpm.horas=0,"",IFERROR(_xlpm.horas/_xlpm.capacidad,"")))</f>
        <v/>
      </c>
      <c r="R204" s="34">
        <f>_xlfn.LET(_xlpm.horas,L204,_xlpm.feriados,IF($H204="CO",FER_CO,FER_EC),_xlpm.capacidad,NETWORKDAYS(L$3,L$4,_xlpm.feriados)*INDEX(Consultores!$C$6:$C$65,MATCH($A204,Consultores!$A$6:$A$65,0)),IF(_xlpm.horas=0,"",IFERROR(_xlpm.horas/_xlpm.capacidad,"")))</f>
        <v/>
      </c>
      <c r="S204" s="34">
        <f>_xlfn.LET(_xlpm.horas,M204,_xlpm.feriados,IF($H204="CO",FER_CO,FER_EC),_xlpm.capacidad,NETWORKDAYS(M$3,M$4,_xlpm.feriados)*INDEX(Consultores!$C$6:$C$65,MATCH($A204,Consultores!$A$6:$A$65,0)),IF(_xlpm.horas=0,"",IFERROR(_xlpm.horas/_xlpm.capacidad,"")))</f>
        <v/>
      </c>
      <c r="T204" s="34">
        <f>_xlfn.LET(_xlpm.horas,N204,_xlpm.feriados,IF($H204="CO",FER_CO,FER_EC),_xlpm.capacidad,NETWORKDAYS(N$3,N$4,_xlpm.feriados)*INDEX(Consultores!$C$6:$C$65,MATCH($A204,Consultores!$A$6:$A$65,0)),IF(_xlpm.horas=0,"",IFERROR(_xlpm.horas/_xlpm.capacidad,"")))</f>
        <v/>
      </c>
      <c r="U204" s="34">
        <f>_xlfn.LET(_xlpm.horas,O204,_xlpm.feriados,IF($H204="CO",FER_CO,FER_EC),_xlpm.capacidad,NETWORKDAYS(O$3,O$4,_xlpm.feriados)*INDEX(Consultores!$C$6:$C$65,MATCH($A204,Consultores!$A$6:$A$65,0)),IF(_xlpm.horas=0,"",IFERROR(_xlpm.horas/_xlpm.capacidad,"")))</f>
        <v/>
      </c>
    </row>
    <row r="205">
      <c r="A205" s="25" t="n"/>
      <c r="B205" s="25" t="n"/>
      <c r="C205" s="25" t="n"/>
      <c r="D205" s="30" t="n"/>
      <c r="E205" s="30" t="n"/>
      <c r="F205" s="26" t="n"/>
      <c r="G205" s="25" t="n"/>
      <c r="H205" s="31">
        <f>IF($A205="","",IFERROR(INDEX(Consultores!$B$6:$B$65,MATCH($A205,Consultores!$A$6:$A$65,0)),"No existe"))</f>
        <v/>
      </c>
      <c r="I205" s="32">
        <f>IF($F205="",0,$F205/5)</f>
        <v/>
      </c>
      <c r="J205" s="33">
        <f>_xlfn.LET(_xlpm.inicio,MAX($D205,J$3),_xlpm.fin,MIN($E205,J$4),_xlpm.feriados,IF($H205="CO",FER_CO,FER_EC),_xlpm.dias,IF(_xlpm.inicio&gt;_xlpm.fin,0,NETWORKDAYS(_xlpm.inicio,_xlpm.fin,_xlpm.feriados)),_xlpm.factor,IF($G205="Probable",IF(Parametros!$B$6="Sí",1,0),1),IF(OR($A205="",$D205="",$E205=""),0,_xlpm.dias*$I205*_xlpm.factor))</f>
        <v/>
      </c>
      <c r="K205" s="33">
        <f>_xlfn.LET(_xlpm.inicio,MAX($D205,K$3),_xlpm.fin,MIN($E205,K$4),_xlpm.feriados,IF($H205="CO",FER_CO,FER_EC),_xlpm.dias,IF(_xlpm.inicio&gt;_xlpm.fin,0,NETWORKDAYS(_xlpm.inicio,_xlpm.fin,_xlpm.feriados)),_xlpm.factor,IF($G205="Probable",IF(Parametros!$B$6="Sí",1,0),1),IF(OR($A205="",$D205="",$E205=""),0,_xlpm.dias*$I205*_xlpm.factor))</f>
        <v/>
      </c>
      <c r="L205" s="33">
        <f>_xlfn.LET(_xlpm.inicio,MAX($D205,L$3),_xlpm.fin,MIN($E205,L$4),_xlpm.feriados,IF($H205="CO",FER_CO,FER_EC),_xlpm.dias,IF(_xlpm.inicio&gt;_xlpm.fin,0,NETWORKDAYS(_xlpm.inicio,_xlpm.fin,_xlpm.feriados)),_xlpm.factor,IF($G205="Probable",IF(Parametros!$B$6="Sí",1,0),1),IF(OR($A205="",$D205="",$E205=""),0,_xlpm.dias*$I205*_xlpm.factor))</f>
        <v/>
      </c>
      <c r="M205" s="33">
        <f>_xlfn.LET(_xlpm.inicio,MAX($D205,M$3),_xlpm.fin,MIN($E205,M$4),_xlpm.feriados,IF($H205="CO",FER_CO,FER_EC),_xlpm.dias,IF(_xlpm.inicio&gt;_xlpm.fin,0,NETWORKDAYS(_xlpm.inicio,_xlpm.fin,_xlpm.feriados)),_xlpm.factor,IF($G205="Probable",IF(Parametros!$B$6="Sí",1,0),1),IF(OR($A205="",$D205="",$E205=""),0,_xlpm.dias*$I205*_xlpm.factor))</f>
        <v/>
      </c>
      <c r="N205" s="33">
        <f>_xlfn.LET(_xlpm.inicio,MAX($D205,N$3),_xlpm.fin,MIN($E205,N$4),_xlpm.feriados,IF($H205="CO",FER_CO,FER_EC),_xlpm.dias,IF(_xlpm.inicio&gt;_xlpm.fin,0,NETWORKDAYS(_xlpm.inicio,_xlpm.fin,_xlpm.feriados)),_xlpm.factor,IF($G205="Probable",IF(Parametros!$B$6="Sí",1,0),1),IF(OR($A205="",$D205="",$E205=""),0,_xlpm.dias*$I205*_xlpm.factor))</f>
        <v/>
      </c>
      <c r="O205" s="33">
        <f>_xlfn.LET(_xlpm.inicio,MAX($D205,O$3),_xlpm.fin,MIN($E205,O$4),_xlpm.feriados,IF($H205="CO",FER_CO,FER_EC),_xlpm.dias,IF(_xlpm.inicio&gt;_xlpm.fin,0,NETWORKDAYS(_xlpm.inicio,_xlpm.fin,_xlpm.feriados)),_xlpm.factor,IF($G205="Probable",IF(Parametros!$B$6="Sí",1,0),1),IF(OR($A205="",$D205="",$E205=""),0,_xlpm.dias*$I205*_xlpm.factor))</f>
        <v/>
      </c>
      <c r="P205" s="34">
        <f>_xlfn.LET(_xlpm.horas,J205,_xlpm.feriados,IF($H205="CO",FER_CO,FER_EC),_xlpm.capacidad,NETWORKDAYS(J$3,J$4,_xlpm.feriados)*INDEX(Consultores!$C$6:$C$65,MATCH($A205,Consultores!$A$6:$A$65,0)),IF(_xlpm.horas=0,"",IFERROR(_xlpm.horas/_xlpm.capacidad,"")))</f>
        <v/>
      </c>
      <c r="Q205" s="34">
        <f>_xlfn.LET(_xlpm.horas,K205,_xlpm.feriados,IF($H205="CO",FER_CO,FER_EC),_xlpm.capacidad,NETWORKDAYS(K$3,K$4,_xlpm.feriados)*INDEX(Consultores!$C$6:$C$65,MATCH($A205,Consultores!$A$6:$A$65,0)),IF(_xlpm.horas=0,"",IFERROR(_xlpm.horas/_xlpm.capacidad,"")))</f>
        <v/>
      </c>
      <c r="R205" s="34">
        <f>_xlfn.LET(_xlpm.horas,L205,_xlpm.feriados,IF($H205="CO",FER_CO,FER_EC),_xlpm.capacidad,NETWORKDAYS(L$3,L$4,_xlpm.feriados)*INDEX(Consultores!$C$6:$C$65,MATCH($A205,Consultores!$A$6:$A$65,0)),IF(_xlpm.horas=0,"",IFERROR(_xlpm.horas/_xlpm.capacidad,"")))</f>
        <v/>
      </c>
      <c r="S205" s="34">
        <f>_xlfn.LET(_xlpm.horas,M205,_xlpm.feriados,IF($H205="CO",FER_CO,FER_EC),_xlpm.capacidad,NETWORKDAYS(M$3,M$4,_xlpm.feriados)*INDEX(Consultores!$C$6:$C$65,MATCH($A205,Consultores!$A$6:$A$65,0)),IF(_xlpm.horas=0,"",IFERROR(_xlpm.horas/_xlpm.capacidad,"")))</f>
        <v/>
      </c>
      <c r="T205" s="34">
        <f>_xlfn.LET(_xlpm.horas,N205,_xlpm.feriados,IF($H205="CO",FER_CO,FER_EC),_xlpm.capacidad,NETWORKDAYS(N$3,N$4,_xlpm.feriados)*INDEX(Consultores!$C$6:$C$65,MATCH($A205,Consultores!$A$6:$A$65,0)),IF(_xlpm.horas=0,"",IFERROR(_xlpm.horas/_xlpm.capacidad,"")))</f>
        <v/>
      </c>
      <c r="U205" s="34">
        <f>_xlfn.LET(_xlpm.horas,O205,_xlpm.feriados,IF($H205="CO",FER_CO,FER_EC),_xlpm.capacidad,NETWORKDAYS(O$3,O$4,_xlpm.feriados)*INDEX(Consultores!$C$6:$C$65,MATCH($A205,Consultores!$A$6:$A$65,0)),IF(_xlpm.horas=0,"",IFERROR(_xlpm.horas/_xlpm.capacidad,"")))</f>
        <v/>
      </c>
    </row>
    <row r="206">
      <c r="A206" s="25" t="n"/>
      <c r="B206" s="25" t="n"/>
      <c r="C206" s="25" t="n"/>
      <c r="D206" s="30" t="n"/>
      <c r="E206" s="30" t="n"/>
      <c r="F206" s="26" t="n"/>
      <c r="G206" s="25" t="n"/>
      <c r="H206" s="31">
        <f>IF($A206="","",IFERROR(INDEX(Consultores!$B$6:$B$65,MATCH($A206,Consultores!$A$6:$A$65,0)),"No existe"))</f>
        <v/>
      </c>
      <c r="I206" s="32">
        <f>IF($F206="",0,$F206/5)</f>
        <v/>
      </c>
      <c r="J206" s="33">
        <f>_xlfn.LET(_xlpm.inicio,MAX($D206,J$3),_xlpm.fin,MIN($E206,J$4),_xlpm.feriados,IF($H206="CO",FER_CO,FER_EC),_xlpm.dias,IF(_xlpm.inicio&gt;_xlpm.fin,0,NETWORKDAYS(_xlpm.inicio,_xlpm.fin,_xlpm.feriados)),_xlpm.factor,IF($G206="Probable",IF(Parametros!$B$6="Sí",1,0),1),IF(OR($A206="",$D206="",$E206=""),0,_xlpm.dias*$I206*_xlpm.factor))</f>
        <v/>
      </c>
      <c r="K206" s="33">
        <f>_xlfn.LET(_xlpm.inicio,MAX($D206,K$3),_xlpm.fin,MIN($E206,K$4),_xlpm.feriados,IF($H206="CO",FER_CO,FER_EC),_xlpm.dias,IF(_xlpm.inicio&gt;_xlpm.fin,0,NETWORKDAYS(_xlpm.inicio,_xlpm.fin,_xlpm.feriados)),_xlpm.factor,IF($G206="Probable",IF(Parametros!$B$6="Sí",1,0),1),IF(OR($A206="",$D206="",$E206=""),0,_xlpm.dias*$I206*_xlpm.factor))</f>
        <v/>
      </c>
      <c r="L206" s="33">
        <f>_xlfn.LET(_xlpm.inicio,MAX($D206,L$3),_xlpm.fin,MIN($E206,L$4),_xlpm.feriados,IF($H206="CO",FER_CO,FER_EC),_xlpm.dias,IF(_xlpm.inicio&gt;_xlpm.fin,0,NETWORKDAYS(_xlpm.inicio,_xlpm.fin,_xlpm.feriados)),_xlpm.factor,IF($G206="Probable",IF(Parametros!$B$6="Sí",1,0),1),IF(OR($A206="",$D206="",$E206=""),0,_xlpm.dias*$I206*_xlpm.factor))</f>
        <v/>
      </c>
      <c r="M206" s="33">
        <f>_xlfn.LET(_xlpm.inicio,MAX($D206,M$3),_xlpm.fin,MIN($E206,M$4),_xlpm.feriados,IF($H206="CO",FER_CO,FER_EC),_xlpm.dias,IF(_xlpm.inicio&gt;_xlpm.fin,0,NETWORKDAYS(_xlpm.inicio,_xlpm.fin,_xlpm.feriados)),_xlpm.factor,IF($G206="Probable",IF(Parametros!$B$6="Sí",1,0),1),IF(OR($A206="",$D206="",$E206=""),0,_xlpm.dias*$I206*_xlpm.factor))</f>
        <v/>
      </c>
      <c r="N206" s="33">
        <f>_xlfn.LET(_xlpm.inicio,MAX($D206,N$3),_xlpm.fin,MIN($E206,N$4),_xlpm.feriados,IF($H206="CO",FER_CO,FER_EC),_xlpm.dias,IF(_xlpm.inicio&gt;_xlpm.fin,0,NETWORKDAYS(_xlpm.inicio,_xlpm.fin,_xlpm.feriados)),_xlpm.factor,IF($G206="Probable",IF(Parametros!$B$6="Sí",1,0),1),IF(OR($A206="",$D206="",$E206=""),0,_xlpm.dias*$I206*_xlpm.factor))</f>
        <v/>
      </c>
      <c r="O206" s="33">
        <f>_xlfn.LET(_xlpm.inicio,MAX($D206,O$3),_xlpm.fin,MIN($E206,O$4),_xlpm.feriados,IF($H206="CO",FER_CO,FER_EC),_xlpm.dias,IF(_xlpm.inicio&gt;_xlpm.fin,0,NETWORKDAYS(_xlpm.inicio,_xlpm.fin,_xlpm.feriados)),_xlpm.factor,IF($G206="Probable",IF(Parametros!$B$6="Sí",1,0),1),IF(OR($A206="",$D206="",$E206=""),0,_xlpm.dias*$I206*_xlpm.factor))</f>
        <v/>
      </c>
      <c r="P206" s="34">
        <f>_xlfn.LET(_xlpm.horas,J206,_xlpm.feriados,IF($H206="CO",FER_CO,FER_EC),_xlpm.capacidad,NETWORKDAYS(J$3,J$4,_xlpm.feriados)*INDEX(Consultores!$C$6:$C$65,MATCH($A206,Consultores!$A$6:$A$65,0)),IF(_xlpm.horas=0,"",IFERROR(_xlpm.horas/_xlpm.capacidad,"")))</f>
        <v/>
      </c>
      <c r="Q206" s="34">
        <f>_xlfn.LET(_xlpm.horas,K206,_xlpm.feriados,IF($H206="CO",FER_CO,FER_EC),_xlpm.capacidad,NETWORKDAYS(K$3,K$4,_xlpm.feriados)*INDEX(Consultores!$C$6:$C$65,MATCH($A206,Consultores!$A$6:$A$65,0)),IF(_xlpm.horas=0,"",IFERROR(_xlpm.horas/_xlpm.capacidad,"")))</f>
        <v/>
      </c>
      <c r="R206" s="34">
        <f>_xlfn.LET(_xlpm.horas,L206,_xlpm.feriados,IF($H206="CO",FER_CO,FER_EC),_xlpm.capacidad,NETWORKDAYS(L$3,L$4,_xlpm.feriados)*INDEX(Consultores!$C$6:$C$65,MATCH($A206,Consultores!$A$6:$A$65,0)),IF(_xlpm.horas=0,"",IFERROR(_xlpm.horas/_xlpm.capacidad,"")))</f>
        <v/>
      </c>
      <c r="S206" s="34">
        <f>_xlfn.LET(_xlpm.horas,M206,_xlpm.feriados,IF($H206="CO",FER_CO,FER_EC),_xlpm.capacidad,NETWORKDAYS(M$3,M$4,_xlpm.feriados)*INDEX(Consultores!$C$6:$C$65,MATCH($A206,Consultores!$A$6:$A$65,0)),IF(_xlpm.horas=0,"",IFERROR(_xlpm.horas/_xlpm.capacidad,"")))</f>
        <v/>
      </c>
      <c r="T206" s="34">
        <f>_xlfn.LET(_xlpm.horas,N206,_xlpm.feriados,IF($H206="CO",FER_CO,FER_EC),_xlpm.capacidad,NETWORKDAYS(N$3,N$4,_xlpm.feriados)*INDEX(Consultores!$C$6:$C$65,MATCH($A206,Consultores!$A$6:$A$65,0)),IF(_xlpm.horas=0,"",IFERROR(_xlpm.horas/_xlpm.capacidad,"")))</f>
        <v/>
      </c>
      <c r="U206" s="34">
        <f>_xlfn.LET(_xlpm.horas,O206,_xlpm.feriados,IF($H206="CO",FER_CO,FER_EC),_xlpm.capacidad,NETWORKDAYS(O$3,O$4,_xlpm.feriados)*INDEX(Consultores!$C$6:$C$65,MATCH($A206,Consultores!$A$6:$A$65,0)),IF(_xlpm.horas=0,"",IFERROR(_xlpm.horas/_xlpm.capacidad,"")))</f>
        <v/>
      </c>
    </row>
    <row r="207">
      <c r="A207" s="25" t="n"/>
      <c r="B207" s="25" t="n"/>
      <c r="C207" s="25" t="n"/>
      <c r="D207" s="30" t="n"/>
      <c r="E207" s="30" t="n"/>
      <c r="F207" s="26" t="n"/>
      <c r="G207" s="25" t="n"/>
      <c r="H207" s="31">
        <f>IF($A207="","",IFERROR(INDEX(Consultores!$B$6:$B$65,MATCH($A207,Consultores!$A$6:$A$65,0)),"No existe"))</f>
        <v/>
      </c>
      <c r="I207" s="32">
        <f>IF($F207="",0,$F207/5)</f>
        <v/>
      </c>
      <c r="J207" s="33">
        <f>_xlfn.LET(_xlpm.inicio,MAX($D207,J$3),_xlpm.fin,MIN($E207,J$4),_xlpm.feriados,IF($H207="CO",FER_CO,FER_EC),_xlpm.dias,IF(_xlpm.inicio&gt;_xlpm.fin,0,NETWORKDAYS(_xlpm.inicio,_xlpm.fin,_xlpm.feriados)),_xlpm.factor,IF($G207="Probable",IF(Parametros!$B$6="Sí",1,0),1),IF(OR($A207="",$D207="",$E207=""),0,_xlpm.dias*$I207*_xlpm.factor))</f>
        <v/>
      </c>
      <c r="K207" s="33">
        <f>_xlfn.LET(_xlpm.inicio,MAX($D207,K$3),_xlpm.fin,MIN($E207,K$4),_xlpm.feriados,IF($H207="CO",FER_CO,FER_EC),_xlpm.dias,IF(_xlpm.inicio&gt;_xlpm.fin,0,NETWORKDAYS(_xlpm.inicio,_xlpm.fin,_xlpm.feriados)),_xlpm.factor,IF($G207="Probable",IF(Parametros!$B$6="Sí",1,0),1),IF(OR($A207="",$D207="",$E207=""),0,_xlpm.dias*$I207*_xlpm.factor))</f>
        <v/>
      </c>
      <c r="L207" s="33">
        <f>_xlfn.LET(_xlpm.inicio,MAX($D207,L$3),_xlpm.fin,MIN($E207,L$4),_xlpm.feriados,IF($H207="CO",FER_CO,FER_EC),_xlpm.dias,IF(_xlpm.inicio&gt;_xlpm.fin,0,NETWORKDAYS(_xlpm.inicio,_xlpm.fin,_xlpm.feriados)),_xlpm.factor,IF($G207="Probable",IF(Parametros!$B$6="Sí",1,0),1),IF(OR($A207="",$D207="",$E207=""),0,_xlpm.dias*$I207*_xlpm.factor))</f>
        <v/>
      </c>
      <c r="M207" s="33">
        <f>_xlfn.LET(_xlpm.inicio,MAX($D207,M$3),_xlpm.fin,MIN($E207,M$4),_xlpm.feriados,IF($H207="CO",FER_CO,FER_EC),_xlpm.dias,IF(_xlpm.inicio&gt;_xlpm.fin,0,NETWORKDAYS(_xlpm.inicio,_xlpm.fin,_xlpm.feriados)),_xlpm.factor,IF($G207="Probable",IF(Parametros!$B$6="Sí",1,0),1),IF(OR($A207="",$D207="",$E207=""),0,_xlpm.dias*$I207*_xlpm.factor))</f>
        <v/>
      </c>
      <c r="N207" s="33">
        <f>_xlfn.LET(_xlpm.inicio,MAX($D207,N$3),_xlpm.fin,MIN($E207,N$4),_xlpm.feriados,IF($H207="CO",FER_CO,FER_EC),_xlpm.dias,IF(_xlpm.inicio&gt;_xlpm.fin,0,NETWORKDAYS(_xlpm.inicio,_xlpm.fin,_xlpm.feriados)),_xlpm.factor,IF($G207="Probable",IF(Parametros!$B$6="Sí",1,0),1),IF(OR($A207="",$D207="",$E207=""),0,_xlpm.dias*$I207*_xlpm.factor))</f>
        <v/>
      </c>
      <c r="O207" s="33">
        <f>_xlfn.LET(_xlpm.inicio,MAX($D207,O$3),_xlpm.fin,MIN($E207,O$4),_xlpm.feriados,IF($H207="CO",FER_CO,FER_EC),_xlpm.dias,IF(_xlpm.inicio&gt;_xlpm.fin,0,NETWORKDAYS(_xlpm.inicio,_xlpm.fin,_xlpm.feriados)),_xlpm.factor,IF($G207="Probable",IF(Parametros!$B$6="Sí",1,0),1),IF(OR($A207="",$D207="",$E207=""),0,_xlpm.dias*$I207*_xlpm.factor))</f>
        <v/>
      </c>
      <c r="P207" s="34">
        <f>_xlfn.LET(_xlpm.horas,J207,_xlpm.feriados,IF($H207="CO",FER_CO,FER_EC),_xlpm.capacidad,NETWORKDAYS(J$3,J$4,_xlpm.feriados)*INDEX(Consultores!$C$6:$C$65,MATCH($A207,Consultores!$A$6:$A$65,0)),IF(_xlpm.horas=0,"",IFERROR(_xlpm.horas/_xlpm.capacidad,"")))</f>
        <v/>
      </c>
      <c r="Q207" s="34">
        <f>_xlfn.LET(_xlpm.horas,K207,_xlpm.feriados,IF($H207="CO",FER_CO,FER_EC),_xlpm.capacidad,NETWORKDAYS(K$3,K$4,_xlpm.feriados)*INDEX(Consultores!$C$6:$C$65,MATCH($A207,Consultores!$A$6:$A$65,0)),IF(_xlpm.horas=0,"",IFERROR(_xlpm.horas/_xlpm.capacidad,"")))</f>
        <v/>
      </c>
      <c r="R207" s="34">
        <f>_xlfn.LET(_xlpm.horas,L207,_xlpm.feriados,IF($H207="CO",FER_CO,FER_EC),_xlpm.capacidad,NETWORKDAYS(L$3,L$4,_xlpm.feriados)*INDEX(Consultores!$C$6:$C$65,MATCH($A207,Consultores!$A$6:$A$65,0)),IF(_xlpm.horas=0,"",IFERROR(_xlpm.horas/_xlpm.capacidad,"")))</f>
        <v/>
      </c>
      <c r="S207" s="34">
        <f>_xlfn.LET(_xlpm.horas,M207,_xlpm.feriados,IF($H207="CO",FER_CO,FER_EC),_xlpm.capacidad,NETWORKDAYS(M$3,M$4,_xlpm.feriados)*INDEX(Consultores!$C$6:$C$65,MATCH($A207,Consultores!$A$6:$A$65,0)),IF(_xlpm.horas=0,"",IFERROR(_xlpm.horas/_xlpm.capacidad,"")))</f>
        <v/>
      </c>
      <c r="T207" s="34">
        <f>_xlfn.LET(_xlpm.horas,N207,_xlpm.feriados,IF($H207="CO",FER_CO,FER_EC),_xlpm.capacidad,NETWORKDAYS(N$3,N$4,_xlpm.feriados)*INDEX(Consultores!$C$6:$C$65,MATCH($A207,Consultores!$A$6:$A$65,0)),IF(_xlpm.horas=0,"",IFERROR(_xlpm.horas/_xlpm.capacidad,"")))</f>
        <v/>
      </c>
      <c r="U207" s="34">
        <f>_xlfn.LET(_xlpm.horas,O207,_xlpm.feriados,IF($H207="CO",FER_CO,FER_EC),_xlpm.capacidad,NETWORKDAYS(O$3,O$4,_xlpm.feriados)*INDEX(Consultores!$C$6:$C$65,MATCH($A207,Consultores!$A$6:$A$65,0)),IF(_xlpm.horas=0,"",IFERROR(_xlpm.horas/_xlpm.capacidad,"")))</f>
        <v/>
      </c>
    </row>
    <row r="208">
      <c r="A208" s="25" t="n"/>
      <c r="B208" s="25" t="n"/>
      <c r="C208" s="25" t="n"/>
      <c r="D208" s="30" t="n"/>
      <c r="E208" s="30" t="n"/>
      <c r="F208" s="26" t="n"/>
      <c r="G208" s="25" t="n"/>
      <c r="H208" s="31">
        <f>IF($A208="","",IFERROR(INDEX(Consultores!$B$6:$B$65,MATCH($A208,Consultores!$A$6:$A$65,0)),"No existe"))</f>
        <v/>
      </c>
      <c r="I208" s="32">
        <f>IF($F208="",0,$F208/5)</f>
        <v/>
      </c>
      <c r="J208" s="33">
        <f>_xlfn.LET(_xlpm.inicio,MAX($D208,J$3),_xlpm.fin,MIN($E208,J$4),_xlpm.feriados,IF($H208="CO",FER_CO,FER_EC),_xlpm.dias,IF(_xlpm.inicio&gt;_xlpm.fin,0,NETWORKDAYS(_xlpm.inicio,_xlpm.fin,_xlpm.feriados)),_xlpm.factor,IF($G208="Probable",IF(Parametros!$B$6="Sí",1,0),1),IF(OR($A208="",$D208="",$E208=""),0,_xlpm.dias*$I208*_xlpm.factor))</f>
        <v/>
      </c>
      <c r="K208" s="33">
        <f>_xlfn.LET(_xlpm.inicio,MAX($D208,K$3),_xlpm.fin,MIN($E208,K$4),_xlpm.feriados,IF($H208="CO",FER_CO,FER_EC),_xlpm.dias,IF(_xlpm.inicio&gt;_xlpm.fin,0,NETWORKDAYS(_xlpm.inicio,_xlpm.fin,_xlpm.feriados)),_xlpm.factor,IF($G208="Probable",IF(Parametros!$B$6="Sí",1,0),1),IF(OR($A208="",$D208="",$E208=""),0,_xlpm.dias*$I208*_xlpm.factor))</f>
        <v/>
      </c>
      <c r="L208" s="33">
        <f>_xlfn.LET(_xlpm.inicio,MAX($D208,L$3),_xlpm.fin,MIN($E208,L$4),_xlpm.feriados,IF($H208="CO",FER_CO,FER_EC),_xlpm.dias,IF(_xlpm.inicio&gt;_xlpm.fin,0,NETWORKDAYS(_xlpm.inicio,_xlpm.fin,_xlpm.feriados)),_xlpm.factor,IF($G208="Probable",IF(Parametros!$B$6="Sí",1,0),1),IF(OR($A208="",$D208="",$E208=""),0,_xlpm.dias*$I208*_xlpm.factor))</f>
        <v/>
      </c>
      <c r="M208" s="33">
        <f>_xlfn.LET(_xlpm.inicio,MAX($D208,M$3),_xlpm.fin,MIN($E208,M$4),_xlpm.feriados,IF($H208="CO",FER_CO,FER_EC),_xlpm.dias,IF(_xlpm.inicio&gt;_xlpm.fin,0,NETWORKDAYS(_xlpm.inicio,_xlpm.fin,_xlpm.feriados)),_xlpm.factor,IF($G208="Probable",IF(Parametros!$B$6="Sí",1,0),1),IF(OR($A208="",$D208="",$E208=""),0,_xlpm.dias*$I208*_xlpm.factor))</f>
        <v/>
      </c>
      <c r="N208" s="33">
        <f>_xlfn.LET(_xlpm.inicio,MAX($D208,N$3),_xlpm.fin,MIN($E208,N$4),_xlpm.feriados,IF($H208="CO",FER_CO,FER_EC),_xlpm.dias,IF(_xlpm.inicio&gt;_xlpm.fin,0,NETWORKDAYS(_xlpm.inicio,_xlpm.fin,_xlpm.feriados)),_xlpm.factor,IF($G208="Probable",IF(Parametros!$B$6="Sí",1,0),1),IF(OR($A208="",$D208="",$E208=""),0,_xlpm.dias*$I208*_xlpm.factor))</f>
        <v/>
      </c>
      <c r="O208" s="33">
        <f>_xlfn.LET(_xlpm.inicio,MAX($D208,O$3),_xlpm.fin,MIN($E208,O$4),_xlpm.feriados,IF($H208="CO",FER_CO,FER_EC),_xlpm.dias,IF(_xlpm.inicio&gt;_xlpm.fin,0,NETWORKDAYS(_xlpm.inicio,_xlpm.fin,_xlpm.feriados)),_xlpm.factor,IF($G208="Probable",IF(Parametros!$B$6="Sí",1,0),1),IF(OR($A208="",$D208="",$E208=""),0,_xlpm.dias*$I208*_xlpm.factor))</f>
        <v/>
      </c>
      <c r="P208" s="34">
        <f>_xlfn.LET(_xlpm.horas,J208,_xlpm.feriados,IF($H208="CO",FER_CO,FER_EC),_xlpm.capacidad,NETWORKDAYS(J$3,J$4,_xlpm.feriados)*INDEX(Consultores!$C$6:$C$65,MATCH($A208,Consultores!$A$6:$A$65,0)),IF(_xlpm.horas=0,"",IFERROR(_xlpm.horas/_xlpm.capacidad,"")))</f>
        <v/>
      </c>
      <c r="Q208" s="34">
        <f>_xlfn.LET(_xlpm.horas,K208,_xlpm.feriados,IF($H208="CO",FER_CO,FER_EC),_xlpm.capacidad,NETWORKDAYS(K$3,K$4,_xlpm.feriados)*INDEX(Consultores!$C$6:$C$65,MATCH($A208,Consultores!$A$6:$A$65,0)),IF(_xlpm.horas=0,"",IFERROR(_xlpm.horas/_xlpm.capacidad,"")))</f>
        <v/>
      </c>
      <c r="R208" s="34">
        <f>_xlfn.LET(_xlpm.horas,L208,_xlpm.feriados,IF($H208="CO",FER_CO,FER_EC),_xlpm.capacidad,NETWORKDAYS(L$3,L$4,_xlpm.feriados)*INDEX(Consultores!$C$6:$C$65,MATCH($A208,Consultores!$A$6:$A$65,0)),IF(_xlpm.horas=0,"",IFERROR(_xlpm.horas/_xlpm.capacidad,"")))</f>
        <v/>
      </c>
      <c r="S208" s="34">
        <f>_xlfn.LET(_xlpm.horas,M208,_xlpm.feriados,IF($H208="CO",FER_CO,FER_EC),_xlpm.capacidad,NETWORKDAYS(M$3,M$4,_xlpm.feriados)*INDEX(Consultores!$C$6:$C$65,MATCH($A208,Consultores!$A$6:$A$65,0)),IF(_xlpm.horas=0,"",IFERROR(_xlpm.horas/_xlpm.capacidad,"")))</f>
        <v/>
      </c>
      <c r="T208" s="34">
        <f>_xlfn.LET(_xlpm.horas,N208,_xlpm.feriados,IF($H208="CO",FER_CO,FER_EC),_xlpm.capacidad,NETWORKDAYS(N$3,N$4,_xlpm.feriados)*INDEX(Consultores!$C$6:$C$65,MATCH($A208,Consultores!$A$6:$A$65,0)),IF(_xlpm.horas=0,"",IFERROR(_xlpm.horas/_xlpm.capacidad,"")))</f>
        <v/>
      </c>
      <c r="U208" s="34">
        <f>_xlfn.LET(_xlpm.horas,O208,_xlpm.feriados,IF($H208="CO",FER_CO,FER_EC),_xlpm.capacidad,NETWORKDAYS(O$3,O$4,_xlpm.feriados)*INDEX(Consultores!$C$6:$C$65,MATCH($A208,Consultores!$A$6:$A$65,0)),IF(_xlpm.horas=0,"",IFERROR(_xlpm.horas/_xlpm.capacidad,"")))</f>
        <v/>
      </c>
    </row>
    <row r="209">
      <c r="A209" s="25" t="n"/>
      <c r="B209" s="25" t="n"/>
      <c r="C209" s="25" t="n"/>
      <c r="D209" s="30" t="n"/>
      <c r="E209" s="30" t="n"/>
      <c r="F209" s="26" t="n"/>
      <c r="G209" s="25" t="n"/>
      <c r="H209" s="31">
        <f>IF($A209="","",IFERROR(INDEX(Consultores!$B$6:$B$65,MATCH($A209,Consultores!$A$6:$A$65,0)),"No existe"))</f>
        <v/>
      </c>
      <c r="I209" s="32">
        <f>IF($F209="",0,$F209/5)</f>
        <v/>
      </c>
      <c r="J209" s="33">
        <f>_xlfn.LET(_xlpm.inicio,MAX($D209,J$3),_xlpm.fin,MIN($E209,J$4),_xlpm.feriados,IF($H209="CO",FER_CO,FER_EC),_xlpm.dias,IF(_xlpm.inicio&gt;_xlpm.fin,0,NETWORKDAYS(_xlpm.inicio,_xlpm.fin,_xlpm.feriados)),_xlpm.factor,IF($G209="Probable",IF(Parametros!$B$6="Sí",1,0),1),IF(OR($A209="",$D209="",$E209=""),0,_xlpm.dias*$I209*_xlpm.factor))</f>
        <v/>
      </c>
      <c r="K209" s="33">
        <f>_xlfn.LET(_xlpm.inicio,MAX($D209,K$3),_xlpm.fin,MIN($E209,K$4),_xlpm.feriados,IF($H209="CO",FER_CO,FER_EC),_xlpm.dias,IF(_xlpm.inicio&gt;_xlpm.fin,0,NETWORKDAYS(_xlpm.inicio,_xlpm.fin,_xlpm.feriados)),_xlpm.factor,IF($G209="Probable",IF(Parametros!$B$6="Sí",1,0),1),IF(OR($A209="",$D209="",$E209=""),0,_xlpm.dias*$I209*_xlpm.factor))</f>
        <v/>
      </c>
      <c r="L209" s="33">
        <f>_xlfn.LET(_xlpm.inicio,MAX($D209,L$3),_xlpm.fin,MIN($E209,L$4),_xlpm.feriados,IF($H209="CO",FER_CO,FER_EC),_xlpm.dias,IF(_xlpm.inicio&gt;_xlpm.fin,0,NETWORKDAYS(_xlpm.inicio,_xlpm.fin,_xlpm.feriados)),_xlpm.factor,IF($G209="Probable",IF(Parametros!$B$6="Sí",1,0),1),IF(OR($A209="",$D209="",$E209=""),0,_xlpm.dias*$I209*_xlpm.factor))</f>
        <v/>
      </c>
      <c r="M209" s="33">
        <f>_xlfn.LET(_xlpm.inicio,MAX($D209,M$3),_xlpm.fin,MIN($E209,M$4),_xlpm.feriados,IF($H209="CO",FER_CO,FER_EC),_xlpm.dias,IF(_xlpm.inicio&gt;_xlpm.fin,0,NETWORKDAYS(_xlpm.inicio,_xlpm.fin,_xlpm.feriados)),_xlpm.factor,IF($G209="Probable",IF(Parametros!$B$6="Sí",1,0),1),IF(OR($A209="",$D209="",$E209=""),0,_xlpm.dias*$I209*_xlpm.factor))</f>
        <v/>
      </c>
      <c r="N209" s="33">
        <f>_xlfn.LET(_xlpm.inicio,MAX($D209,N$3),_xlpm.fin,MIN($E209,N$4),_xlpm.feriados,IF($H209="CO",FER_CO,FER_EC),_xlpm.dias,IF(_xlpm.inicio&gt;_xlpm.fin,0,NETWORKDAYS(_xlpm.inicio,_xlpm.fin,_xlpm.feriados)),_xlpm.factor,IF($G209="Probable",IF(Parametros!$B$6="Sí",1,0),1),IF(OR($A209="",$D209="",$E209=""),0,_xlpm.dias*$I209*_xlpm.factor))</f>
        <v/>
      </c>
      <c r="O209" s="33">
        <f>_xlfn.LET(_xlpm.inicio,MAX($D209,O$3),_xlpm.fin,MIN($E209,O$4),_xlpm.feriados,IF($H209="CO",FER_CO,FER_EC),_xlpm.dias,IF(_xlpm.inicio&gt;_xlpm.fin,0,NETWORKDAYS(_xlpm.inicio,_xlpm.fin,_xlpm.feriados)),_xlpm.factor,IF($G209="Probable",IF(Parametros!$B$6="Sí",1,0),1),IF(OR($A209="",$D209="",$E209=""),0,_xlpm.dias*$I209*_xlpm.factor))</f>
        <v/>
      </c>
      <c r="P209" s="34">
        <f>_xlfn.LET(_xlpm.horas,J209,_xlpm.feriados,IF($H209="CO",FER_CO,FER_EC),_xlpm.capacidad,NETWORKDAYS(J$3,J$4,_xlpm.feriados)*INDEX(Consultores!$C$6:$C$65,MATCH($A209,Consultores!$A$6:$A$65,0)),IF(_xlpm.horas=0,"",IFERROR(_xlpm.horas/_xlpm.capacidad,"")))</f>
        <v/>
      </c>
      <c r="Q209" s="34">
        <f>_xlfn.LET(_xlpm.horas,K209,_xlpm.feriados,IF($H209="CO",FER_CO,FER_EC),_xlpm.capacidad,NETWORKDAYS(K$3,K$4,_xlpm.feriados)*INDEX(Consultores!$C$6:$C$65,MATCH($A209,Consultores!$A$6:$A$65,0)),IF(_xlpm.horas=0,"",IFERROR(_xlpm.horas/_xlpm.capacidad,"")))</f>
        <v/>
      </c>
      <c r="R209" s="34">
        <f>_xlfn.LET(_xlpm.horas,L209,_xlpm.feriados,IF($H209="CO",FER_CO,FER_EC),_xlpm.capacidad,NETWORKDAYS(L$3,L$4,_xlpm.feriados)*INDEX(Consultores!$C$6:$C$65,MATCH($A209,Consultores!$A$6:$A$65,0)),IF(_xlpm.horas=0,"",IFERROR(_xlpm.horas/_xlpm.capacidad,"")))</f>
        <v/>
      </c>
      <c r="S209" s="34">
        <f>_xlfn.LET(_xlpm.horas,M209,_xlpm.feriados,IF($H209="CO",FER_CO,FER_EC),_xlpm.capacidad,NETWORKDAYS(M$3,M$4,_xlpm.feriados)*INDEX(Consultores!$C$6:$C$65,MATCH($A209,Consultores!$A$6:$A$65,0)),IF(_xlpm.horas=0,"",IFERROR(_xlpm.horas/_xlpm.capacidad,"")))</f>
        <v/>
      </c>
      <c r="T209" s="34">
        <f>_xlfn.LET(_xlpm.horas,N209,_xlpm.feriados,IF($H209="CO",FER_CO,FER_EC),_xlpm.capacidad,NETWORKDAYS(N$3,N$4,_xlpm.feriados)*INDEX(Consultores!$C$6:$C$65,MATCH($A209,Consultores!$A$6:$A$65,0)),IF(_xlpm.horas=0,"",IFERROR(_xlpm.horas/_xlpm.capacidad,"")))</f>
        <v/>
      </c>
      <c r="U209" s="34">
        <f>_xlfn.LET(_xlpm.horas,O209,_xlpm.feriados,IF($H209="CO",FER_CO,FER_EC),_xlpm.capacidad,NETWORKDAYS(O$3,O$4,_xlpm.feriados)*INDEX(Consultores!$C$6:$C$65,MATCH($A209,Consultores!$A$6:$A$65,0)),IF(_xlpm.horas=0,"",IFERROR(_xlpm.horas/_xlpm.capacidad,"")))</f>
        <v/>
      </c>
    </row>
    <row r="210">
      <c r="A210" s="25" t="n"/>
      <c r="B210" s="25" t="n"/>
      <c r="C210" s="25" t="n"/>
      <c r="D210" s="30" t="n"/>
      <c r="E210" s="30" t="n"/>
      <c r="F210" s="26" t="n"/>
      <c r="G210" s="25" t="n"/>
      <c r="H210" s="31">
        <f>IF($A210="","",IFERROR(INDEX(Consultores!$B$6:$B$65,MATCH($A210,Consultores!$A$6:$A$65,0)),"No existe"))</f>
        <v/>
      </c>
      <c r="I210" s="32">
        <f>IF($F210="",0,$F210/5)</f>
        <v/>
      </c>
      <c r="J210" s="33">
        <f>_xlfn.LET(_xlpm.inicio,MAX($D210,J$3),_xlpm.fin,MIN($E210,J$4),_xlpm.feriados,IF($H210="CO",FER_CO,FER_EC),_xlpm.dias,IF(_xlpm.inicio&gt;_xlpm.fin,0,NETWORKDAYS(_xlpm.inicio,_xlpm.fin,_xlpm.feriados)),_xlpm.factor,IF($G210="Probable",IF(Parametros!$B$6="Sí",1,0),1),IF(OR($A210="",$D210="",$E210=""),0,_xlpm.dias*$I210*_xlpm.factor))</f>
        <v/>
      </c>
      <c r="K210" s="33">
        <f>_xlfn.LET(_xlpm.inicio,MAX($D210,K$3),_xlpm.fin,MIN($E210,K$4),_xlpm.feriados,IF($H210="CO",FER_CO,FER_EC),_xlpm.dias,IF(_xlpm.inicio&gt;_xlpm.fin,0,NETWORKDAYS(_xlpm.inicio,_xlpm.fin,_xlpm.feriados)),_xlpm.factor,IF($G210="Probable",IF(Parametros!$B$6="Sí",1,0),1),IF(OR($A210="",$D210="",$E210=""),0,_xlpm.dias*$I210*_xlpm.factor))</f>
        <v/>
      </c>
      <c r="L210" s="33">
        <f>_xlfn.LET(_xlpm.inicio,MAX($D210,L$3),_xlpm.fin,MIN($E210,L$4),_xlpm.feriados,IF($H210="CO",FER_CO,FER_EC),_xlpm.dias,IF(_xlpm.inicio&gt;_xlpm.fin,0,NETWORKDAYS(_xlpm.inicio,_xlpm.fin,_xlpm.feriados)),_xlpm.factor,IF($G210="Probable",IF(Parametros!$B$6="Sí",1,0),1),IF(OR($A210="",$D210="",$E210=""),0,_xlpm.dias*$I210*_xlpm.factor))</f>
        <v/>
      </c>
      <c r="M210" s="33">
        <f>_xlfn.LET(_xlpm.inicio,MAX($D210,M$3),_xlpm.fin,MIN($E210,M$4),_xlpm.feriados,IF($H210="CO",FER_CO,FER_EC),_xlpm.dias,IF(_xlpm.inicio&gt;_xlpm.fin,0,NETWORKDAYS(_xlpm.inicio,_xlpm.fin,_xlpm.feriados)),_xlpm.factor,IF($G210="Probable",IF(Parametros!$B$6="Sí",1,0),1),IF(OR($A210="",$D210="",$E210=""),0,_xlpm.dias*$I210*_xlpm.factor))</f>
        <v/>
      </c>
      <c r="N210" s="33">
        <f>_xlfn.LET(_xlpm.inicio,MAX($D210,N$3),_xlpm.fin,MIN($E210,N$4),_xlpm.feriados,IF($H210="CO",FER_CO,FER_EC),_xlpm.dias,IF(_xlpm.inicio&gt;_xlpm.fin,0,NETWORKDAYS(_xlpm.inicio,_xlpm.fin,_xlpm.feriados)),_xlpm.factor,IF($G210="Probable",IF(Parametros!$B$6="Sí",1,0),1),IF(OR($A210="",$D210="",$E210=""),0,_xlpm.dias*$I210*_xlpm.factor))</f>
        <v/>
      </c>
      <c r="O210" s="33">
        <f>_xlfn.LET(_xlpm.inicio,MAX($D210,O$3),_xlpm.fin,MIN($E210,O$4),_xlpm.feriados,IF($H210="CO",FER_CO,FER_EC),_xlpm.dias,IF(_xlpm.inicio&gt;_xlpm.fin,0,NETWORKDAYS(_xlpm.inicio,_xlpm.fin,_xlpm.feriados)),_xlpm.factor,IF($G210="Probable",IF(Parametros!$B$6="Sí",1,0),1),IF(OR($A210="",$D210="",$E210=""),0,_xlpm.dias*$I210*_xlpm.factor))</f>
        <v/>
      </c>
      <c r="P210" s="34">
        <f>_xlfn.LET(_xlpm.horas,J210,_xlpm.feriados,IF($H210="CO",FER_CO,FER_EC),_xlpm.capacidad,NETWORKDAYS(J$3,J$4,_xlpm.feriados)*INDEX(Consultores!$C$6:$C$65,MATCH($A210,Consultores!$A$6:$A$65,0)),IF(_xlpm.horas=0,"",IFERROR(_xlpm.horas/_xlpm.capacidad,"")))</f>
        <v/>
      </c>
      <c r="Q210" s="34">
        <f>_xlfn.LET(_xlpm.horas,K210,_xlpm.feriados,IF($H210="CO",FER_CO,FER_EC),_xlpm.capacidad,NETWORKDAYS(K$3,K$4,_xlpm.feriados)*INDEX(Consultores!$C$6:$C$65,MATCH($A210,Consultores!$A$6:$A$65,0)),IF(_xlpm.horas=0,"",IFERROR(_xlpm.horas/_xlpm.capacidad,"")))</f>
        <v/>
      </c>
      <c r="R210" s="34">
        <f>_xlfn.LET(_xlpm.horas,L210,_xlpm.feriados,IF($H210="CO",FER_CO,FER_EC),_xlpm.capacidad,NETWORKDAYS(L$3,L$4,_xlpm.feriados)*INDEX(Consultores!$C$6:$C$65,MATCH($A210,Consultores!$A$6:$A$65,0)),IF(_xlpm.horas=0,"",IFERROR(_xlpm.horas/_xlpm.capacidad,"")))</f>
        <v/>
      </c>
      <c r="S210" s="34">
        <f>_xlfn.LET(_xlpm.horas,M210,_xlpm.feriados,IF($H210="CO",FER_CO,FER_EC),_xlpm.capacidad,NETWORKDAYS(M$3,M$4,_xlpm.feriados)*INDEX(Consultores!$C$6:$C$65,MATCH($A210,Consultores!$A$6:$A$65,0)),IF(_xlpm.horas=0,"",IFERROR(_xlpm.horas/_xlpm.capacidad,"")))</f>
        <v/>
      </c>
      <c r="T210" s="34">
        <f>_xlfn.LET(_xlpm.horas,N210,_xlpm.feriados,IF($H210="CO",FER_CO,FER_EC),_xlpm.capacidad,NETWORKDAYS(N$3,N$4,_xlpm.feriados)*INDEX(Consultores!$C$6:$C$65,MATCH($A210,Consultores!$A$6:$A$65,0)),IF(_xlpm.horas=0,"",IFERROR(_xlpm.horas/_xlpm.capacidad,"")))</f>
        <v/>
      </c>
      <c r="U210" s="34">
        <f>_xlfn.LET(_xlpm.horas,O210,_xlpm.feriados,IF($H210="CO",FER_CO,FER_EC),_xlpm.capacidad,NETWORKDAYS(O$3,O$4,_xlpm.feriados)*INDEX(Consultores!$C$6:$C$65,MATCH($A210,Consultores!$A$6:$A$65,0)),IF(_xlpm.horas=0,"",IFERROR(_xlpm.horas/_xlpm.capacidad,"")))</f>
        <v/>
      </c>
    </row>
    <row r="211">
      <c r="A211" s="25" t="n"/>
      <c r="B211" s="25" t="n"/>
      <c r="C211" s="25" t="n"/>
      <c r="D211" s="30" t="n"/>
      <c r="E211" s="30" t="n"/>
      <c r="F211" s="26" t="n"/>
      <c r="G211" s="25" t="n"/>
      <c r="H211" s="31">
        <f>IF($A211="","",IFERROR(INDEX(Consultores!$B$6:$B$65,MATCH($A211,Consultores!$A$6:$A$65,0)),"No existe"))</f>
        <v/>
      </c>
      <c r="I211" s="32">
        <f>IF($F211="",0,$F211/5)</f>
        <v/>
      </c>
      <c r="J211" s="33">
        <f>_xlfn.LET(_xlpm.inicio,MAX($D211,J$3),_xlpm.fin,MIN($E211,J$4),_xlpm.feriados,IF($H211="CO",FER_CO,FER_EC),_xlpm.dias,IF(_xlpm.inicio&gt;_xlpm.fin,0,NETWORKDAYS(_xlpm.inicio,_xlpm.fin,_xlpm.feriados)),_xlpm.factor,IF($G211="Probable",IF(Parametros!$B$6="Sí",1,0),1),IF(OR($A211="",$D211="",$E211=""),0,_xlpm.dias*$I211*_xlpm.factor))</f>
        <v/>
      </c>
      <c r="K211" s="33">
        <f>_xlfn.LET(_xlpm.inicio,MAX($D211,K$3),_xlpm.fin,MIN($E211,K$4),_xlpm.feriados,IF($H211="CO",FER_CO,FER_EC),_xlpm.dias,IF(_xlpm.inicio&gt;_xlpm.fin,0,NETWORKDAYS(_xlpm.inicio,_xlpm.fin,_xlpm.feriados)),_xlpm.factor,IF($G211="Probable",IF(Parametros!$B$6="Sí",1,0),1),IF(OR($A211="",$D211="",$E211=""),0,_xlpm.dias*$I211*_xlpm.factor))</f>
        <v/>
      </c>
      <c r="L211" s="33">
        <f>_xlfn.LET(_xlpm.inicio,MAX($D211,L$3),_xlpm.fin,MIN($E211,L$4),_xlpm.feriados,IF($H211="CO",FER_CO,FER_EC),_xlpm.dias,IF(_xlpm.inicio&gt;_xlpm.fin,0,NETWORKDAYS(_xlpm.inicio,_xlpm.fin,_xlpm.feriados)),_xlpm.factor,IF($G211="Probable",IF(Parametros!$B$6="Sí",1,0),1),IF(OR($A211="",$D211="",$E211=""),0,_xlpm.dias*$I211*_xlpm.factor))</f>
        <v/>
      </c>
      <c r="M211" s="33">
        <f>_xlfn.LET(_xlpm.inicio,MAX($D211,M$3),_xlpm.fin,MIN($E211,M$4),_xlpm.feriados,IF($H211="CO",FER_CO,FER_EC),_xlpm.dias,IF(_xlpm.inicio&gt;_xlpm.fin,0,NETWORKDAYS(_xlpm.inicio,_xlpm.fin,_xlpm.feriados)),_xlpm.factor,IF($G211="Probable",IF(Parametros!$B$6="Sí",1,0),1),IF(OR($A211="",$D211="",$E211=""),0,_xlpm.dias*$I211*_xlpm.factor))</f>
        <v/>
      </c>
      <c r="N211" s="33">
        <f>_xlfn.LET(_xlpm.inicio,MAX($D211,N$3),_xlpm.fin,MIN($E211,N$4),_xlpm.feriados,IF($H211="CO",FER_CO,FER_EC),_xlpm.dias,IF(_xlpm.inicio&gt;_xlpm.fin,0,NETWORKDAYS(_xlpm.inicio,_xlpm.fin,_xlpm.feriados)),_xlpm.factor,IF($G211="Probable",IF(Parametros!$B$6="Sí",1,0),1),IF(OR($A211="",$D211="",$E211=""),0,_xlpm.dias*$I211*_xlpm.factor))</f>
        <v/>
      </c>
      <c r="O211" s="33">
        <f>_xlfn.LET(_xlpm.inicio,MAX($D211,O$3),_xlpm.fin,MIN($E211,O$4),_xlpm.feriados,IF($H211="CO",FER_CO,FER_EC),_xlpm.dias,IF(_xlpm.inicio&gt;_xlpm.fin,0,NETWORKDAYS(_xlpm.inicio,_xlpm.fin,_xlpm.feriados)),_xlpm.factor,IF($G211="Probable",IF(Parametros!$B$6="Sí",1,0),1),IF(OR($A211="",$D211="",$E211=""),0,_xlpm.dias*$I211*_xlpm.factor))</f>
        <v/>
      </c>
      <c r="P211" s="34">
        <f>_xlfn.LET(_xlpm.horas,J211,_xlpm.feriados,IF($H211="CO",FER_CO,FER_EC),_xlpm.capacidad,NETWORKDAYS(J$3,J$4,_xlpm.feriados)*INDEX(Consultores!$C$6:$C$65,MATCH($A211,Consultores!$A$6:$A$65,0)),IF(_xlpm.horas=0,"",IFERROR(_xlpm.horas/_xlpm.capacidad,"")))</f>
        <v/>
      </c>
      <c r="Q211" s="34">
        <f>_xlfn.LET(_xlpm.horas,K211,_xlpm.feriados,IF($H211="CO",FER_CO,FER_EC),_xlpm.capacidad,NETWORKDAYS(K$3,K$4,_xlpm.feriados)*INDEX(Consultores!$C$6:$C$65,MATCH($A211,Consultores!$A$6:$A$65,0)),IF(_xlpm.horas=0,"",IFERROR(_xlpm.horas/_xlpm.capacidad,"")))</f>
        <v/>
      </c>
      <c r="R211" s="34">
        <f>_xlfn.LET(_xlpm.horas,L211,_xlpm.feriados,IF($H211="CO",FER_CO,FER_EC),_xlpm.capacidad,NETWORKDAYS(L$3,L$4,_xlpm.feriados)*INDEX(Consultores!$C$6:$C$65,MATCH($A211,Consultores!$A$6:$A$65,0)),IF(_xlpm.horas=0,"",IFERROR(_xlpm.horas/_xlpm.capacidad,"")))</f>
        <v/>
      </c>
      <c r="S211" s="34">
        <f>_xlfn.LET(_xlpm.horas,M211,_xlpm.feriados,IF($H211="CO",FER_CO,FER_EC),_xlpm.capacidad,NETWORKDAYS(M$3,M$4,_xlpm.feriados)*INDEX(Consultores!$C$6:$C$65,MATCH($A211,Consultores!$A$6:$A$65,0)),IF(_xlpm.horas=0,"",IFERROR(_xlpm.horas/_xlpm.capacidad,"")))</f>
        <v/>
      </c>
      <c r="T211" s="34">
        <f>_xlfn.LET(_xlpm.horas,N211,_xlpm.feriados,IF($H211="CO",FER_CO,FER_EC),_xlpm.capacidad,NETWORKDAYS(N$3,N$4,_xlpm.feriados)*INDEX(Consultores!$C$6:$C$65,MATCH($A211,Consultores!$A$6:$A$65,0)),IF(_xlpm.horas=0,"",IFERROR(_xlpm.horas/_xlpm.capacidad,"")))</f>
        <v/>
      </c>
      <c r="U211" s="34">
        <f>_xlfn.LET(_xlpm.horas,O211,_xlpm.feriados,IF($H211="CO",FER_CO,FER_EC),_xlpm.capacidad,NETWORKDAYS(O$3,O$4,_xlpm.feriados)*INDEX(Consultores!$C$6:$C$65,MATCH($A211,Consultores!$A$6:$A$65,0)),IF(_xlpm.horas=0,"",IFERROR(_xlpm.horas/_xlpm.capacidad,"")))</f>
        <v/>
      </c>
    </row>
    <row r="212">
      <c r="A212" s="25" t="n"/>
      <c r="B212" s="25" t="n"/>
      <c r="C212" s="25" t="n"/>
      <c r="D212" s="30" t="n"/>
      <c r="E212" s="30" t="n"/>
      <c r="F212" s="26" t="n"/>
      <c r="G212" s="25" t="n"/>
      <c r="H212" s="31">
        <f>IF($A212="","",IFERROR(INDEX(Consultores!$B$6:$B$65,MATCH($A212,Consultores!$A$6:$A$65,0)),"No existe"))</f>
        <v/>
      </c>
      <c r="I212" s="32">
        <f>IF($F212="",0,$F212/5)</f>
        <v/>
      </c>
      <c r="J212" s="33">
        <f>_xlfn.LET(_xlpm.inicio,MAX($D212,J$3),_xlpm.fin,MIN($E212,J$4),_xlpm.feriados,IF($H212="CO",FER_CO,FER_EC),_xlpm.dias,IF(_xlpm.inicio&gt;_xlpm.fin,0,NETWORKDAYS(_xlpm.inicio,_xlpm.fin,_xlpm.feriados)),_xlpm.factor,IF($G212="Probable",IF(Parametros!$B$6="Sí",1,0),1),IF(OR($A212="",$D212="",$E212=""),0,_xlpm.dias*$I212*_xlpm.factor))</f>
        <v/>
      </c>
      <c r="K212" s="33">
        <f>_xlfn.LET(_xlpm.inicio,MAX($D212,K$3),_xlpm.fin,MIN($E212,K$4),_xlpm.feriados,IF($H212="CO",FER_CO,FER_EC),_xlpm.dias,IF(_xlpm.inicio&gt;_xlpm.fin,0,NETWORKDAYS(_xlpm.inicio,_xlpm.fin,_xlpm.feriados)),_xlpm.factor,IF($G212="Probable",IF(Parametros!$B$6="Sí",1,0),1),IF(OR($A212="",$D212="",$E212=""),0,_xlpm.dias*$I212*_xlpm.factor))</f>
        <v/>
      </c>
      <c r="L212" s="33">
        <f>_xlfn.LET(_xlpm.inicio,MAX($D212,L$3),_xlpm.fin,MIN($E212,L$4),_xlpm.feriados,IF($H212="CO",FER_CO,FER_EC),_xlpm.dias,IF(_xlpm.inicio&gt;_xlpm.fin,0,NETWORKDAYS(_xlpm.inicio,_xlpm.fin,_xlpm.feriados)),_xlpm.factor,IF($G212="Probable",IF(Parametros!$B$6="Sí",1,0),1),IF(OR($A212="",$D212="",$E212=""),0,_xlpm.dias*$I212*_xlpm.factor))</f>
        <v/>
      </c>
      <c r="M212" s="33">
        <f>_xlfn.LET(_xlpm.inicio,MAX($D212,M$3),_xlpm.fin,MIN($E212,M$4),_xlpm.feriados,IF($H212="CO",FER_CO,FER_EC),_xlpm.dias,IF(_xlpm.inicio&gt;_xlpm.fin,0,NETWORKDAYS(_xlpm.inicio,_xlpm.fin,_xlpm.feriados)),_xlpm.factor,IF($G212="Probable",IF(Parametros!$B$6="Sí",1,0),1),IF(OR($A212="",$D212="",$E212=""),0,_xlpm.dias*$I212*_xlpm.factor))</f>
        <v/>
      </c>
      <c r="N212" s="33">
        <f>_xlfn.LET(_xlpm.inicio,MAX($D212,N$3),_xlpm.fin,MIN($E212,N$4),_xlpm.feriados,IF($H212="CO",FER_CO,FER_EC),_xlpm.dias,IF(_xlpm.inicio&gt;_xlpm.fin,0,NETWORKDAYS(_xlpm.inicio,_xlpm.fin,_xlpm.feriados)),_xlpm.factor,IF($G212="Probable",IF(Parametros!$B$6="Sí",1,0),1),IF(OR($A212="",$D212="",$E212=""),0,_xlpm.dias*$I212*_xlpm.factor))</f>
        <v/>
      </c>
      <c r="O212" s="33">
        <f>_xlfn.LET(_xlpm.inicio,MAX($D212,O$3),_xlpm.fin,MIN($E212,O$4),_xlpm.feriados,IF($H212="CO",FER_CO,FER_EC),_xlpm.dias,IF(_xlpm.inicio&gt;_xlpm.fin,0,NETWORKDAYS(_xlpm.inicio,_xlpm.fin,_xlpm.feriados)),_xlpm.factor,IF($G212="Probable",IF(Parametros!$B$6="Sí",1,0),1),IF(OR($A212="",$D212="",$E212=""),0,_xlpm.dias*$I212*_xlpm.factor))</f>
        <v/>
      </c>
      <c r="P212" s="34">
        <f>_xlfn.LET(_xlpm.horas,J212,_xlpm.feriados,IF($H212="CO",FER_CO,FER_EC),_xlpm.capacidad,NETWORKDAYS(J$3,J$4,_xlpm.feriados)*INDEX(Consultores!$C$6:$C$65,MATCH($A212,Consultores!$A$6:$A$65,0)),IF(_xlpm.horas=0,"",IFERROR(_xlpm.horas/_xlpm.capacidad,"")))</f>
        <v/>
      </c>
      <c r="Q212" s="34">
        <f>_xlfn.LET(_xlpm.horas,K212,_xlpm.feriados,IF($H212="CO",FER_CO,FER_EC),_xlpm.capacidad,NETWORKDAYS(K$3,K$4,_xlpm.feriados)*INDEX(Consultores!$C$6:$C$65,MATCH($A212,Consultores!$A$6:$A$65,0)),IF(_xlpm.horas=0,"",IFERROR(_xlpm.horas/_xlpm.capacidad,"")))</f>
        <v/>
      </c>
      <c r="R212" s="34">
        <f>_xlfn.LET(_xlpm.horas,L212,_xlpm.feriados,IF($H212="CO",FER_CO,FER_EC),_xlpm.capacidad,NETWORKDAYS(L$3,L$4,_xlpm.feriados)*INDEX(Consultores!$C$6:$C$65,MATCH($A212,Consultores!$A$6:$A$65,0)),IF(_xlpm.horas=0,"",IFERROR(_xlpm.horas/_xlpm.capacidad,"")))</f>
        <v/>
      </c>
      <c r="S212" s="34">
        <f>_xlfn.LET(_xlpm.horas,M212,_xlpm.feriados,IF($H212="CO",FER_CO,FER_EC),_xlpm.capacidad,NETWORKDAYS(M$3,M$4,_xlpm.feriados)*INDEX(Consultores!$C$6:$C$65,MATCH($A212,Consultores!$A$6:$A$65,0)),IF(_xlpm.horas=0,"",IFERROR(_xlpm.horas/_xlpm.capacidad,"")))</f>
        <v/>
      </c>
      <c r="T212" s="34">
        <f>_xlfn.LET(_xlpm.horas,N212,_xlpm.feriados,IF($H212="CO",FER_CO,FER_EC),_xlpm.capacidad,NETWORKDAYS(N$3,N$4,_xlpm.feriados)*INDEX(Consultores!$C$6:$C$65,MATCH($A212,Consultores!$A$6:$A$65,0)),IF(_xlpm.horas=0,"",IFERROR(_xlpm.horas/_xlpm.capacidad,"")))</f>
        <v/>
      </c>
      <c r="U212" s="34">
        <f>_xlfn.LET(_xlpm.horas,O212,_xlpm.feriados,IF($H212="CO",FER_CO,FER_EC),_xlpm.capacidad,NETWORKDAYS(O$3,O$4,_xlpm.feriados)*INDEX(Consultores!$C$6:$C$65,MATCH($A212,Consultores!$A$6:$A$65,0)),IF(_xlpm.horas=0,"",IFERROR(_xlpm.horas/_xlpm.capacidad,"")))</f>
        <v/>
      </c>
    </row>
    <row r="213">
      <c r="A213" s="25" t="n"/>
      <c r="B213" s="25" t="n"/>
      <c r="C213" s="25" t="n"/>
      <c r="D213" s="30" t="n"/>
      <c r="E213" s="30" t="n"/>
      <c r="F213" s="26" t="n"/>
      <c r="G213" s="25" t="n"/>
      <c r="H213" s="31">
        <f>IF($A213="","",IFERROR(INDEX(Consultores!$B$6:$B$65,MATCH($A213,Consultores!$A$6:$A$65,0)),"No existe"))</f>
        <v/>
      </c>
      <c r="I213" s="32">
        <f>IF($F213="",0,$F213/5)</f>
        <v/>
      </c>
      <c r="J213" s="33">
        <f>_xlfn.LET(_xlpm.inicio,MAX($D213,J$3),_xlpm.fin,MIN($E213,J$4),_xlpm.feriados,IF($H213="CO",FER_CO,FER_EC),_xlpm.dias,IF(_xlpm.inicio&gt;_xlpm.fin,0,NETWORKDAYS(_xlpm.inicio,_xlpm.fin,_xlpm.feriados)),_xlpm.factor,IF($G213="Probable",IF(Parametros!$B$6="Sí",1,0),1),IF(OR($A213="",$D213="",$E213=""),0,_xlpm.dias*$I213*_xlpm.factor))</f>
        <v/>
      </c>
      <c r="K213" s="33">
        <f>_xlfn.LET(_xlpm.inicio,MAX($D213,K$3),_xlpm.fin,MIN($E213,K$4),_xlpm.feriados,IF($H213="CO",FER_CO,FER_EC),_xlpm.dias,IF(_xlpm.inicio&gt;_xlpm.fin,0,NETWORKDAYS(_xlpm.inicio,_xlpm.fin,_xlpm.feriados)),_xlpm.factor,IF($G213="Probable",IF(Parametros!$B$6="Sí",1,0),1),IF(OR($A213="",$D213="",$E213=""),0,_xlpm.dias*$I213*_xlpm.factor))</f>
        <v/>
      </c>
      <c r="L213" s="33">
        <f>_xlfn.LET(_xlpm.inicio,MAX($D213,L$3),_xlpm.fin,MIN($E213,L$4),_xlpm.feriados,IF($H213="CO",FER_CO,FER_EC),_xlpm.dias,IF(_xlpm.inicio&gt;_xlpm.fin,0,NETWORKDAYS(_xlpm.inicio,_xlpm.fin,_xlpm.feriados)),_xlpm.factor,IF($G213="Probable",IF(Parametros!$B$6="Sí",1,0),1),IF(OR($A213="",$D213="",$E213=""),0,_xlpm.dias*$I213*_xlpm.factor))</f>
        <v/>
      </c>
      <c r="M213" s="33">
        <f>_xlfn.LET(_xlpm.inicio,MAX($D213,M$3),_xlpm.fin,MIN($E213,M$4),_xlpm.feriados,IF($H213="CO",FER_CO,FER_EC),_xlpm.dias,IF(_xlpm.inicio&gt;_xlpm.fin,0,NETWORKDAYS(_xlpm.inicio,_xlpm.fin,_xlpm.feriados)),_xlpm.factor,IF($G213="Probable",IF(Parametros!$B$6="Sí",1,0),1),IF(OR($A213="",$D213="",$E213=""),0,_xlpm.dias*$I213*_xlpm.factor))</f>
        <v/>
      </c>
      <c r="N213" s="33">
        <f>_xlfn.LET(_xlpm.inicio,MAX($D213,N$3),_xlpm.fin,MIN($E213,N$4),_xlpm.feriados,IF($H213="CO",FER_CO,FER_EC),_xlpm.dias,IF(_xlpm.inicio&gt;_xlpm.fin,0,NETWORKDAYS(_xlpm.inicio,_xlpm.fin,_xlpm.feriados)),_xlpm.factor,IF($G213="Probable",IF(Parametros!$B$6="Sí",1,0),1),IF(OR($A213="",$D213="",$E213=""),0,_xlpm.dias*$I213*_xlpm.factor))</f>
        <v/>
      </c>
      <c r="O213" s="33">
        <f>_xlfn.LET(_xlpm.inicio,MAX($D213,O$3),_xlpm.fin,MIN($E213,O$4),_xlpm.feriados,IF($H213="CO",FER_CO,FER_EC),_xlpm.dias,IF(_xlpm.inicio&gt;_xlpm.fin,0,NETWORKDAYS(_xlpm.inicio,_xlpm.fin,_xlpm.feriados)),_xlpm.factor,IF($G213="Probable",IF(Parametros!$B$6="Sí",1,0),1),IF(OR($A213="",$D213="",$E213=""),0,_xlpm.dias*$I213*_xlpm.factor))</f>
        <v/>
      </c>
      <c r="P213" s="34">
        <f>_xlfn.LET(_xlpm.horas,J213,_xlpm.feriados,IF($H213="CO",FER_CO,FER_EC),_xlpm.capacidad,NETWORKDAYS(J$3,J$4,_xlpm.feriados)*INDEX(Consultores!$C$6:$C$65,MATCH($A213,Consultores!$A$6:$A$65,0)),IF(_xlpm.horas=0,"",IFERROR(_xlpm.horas/_xlpm.capacidad,"")))</f>
        <v/>
      </c>
      <c r="Q213" s="34">
        <f>_xlfn.LET(_xlpm.horas,K213,_xlpm.feriados,IF($H213="CO",FER_CO,FER_EC),_xlpm.capacidad,NETWORKDAYS(K$3,K$4,_xlpm.feriados)*INDEX(Consultores!$C$6:$C$65,MATCH($A213,Consultores!$A$6:$A$65,0)),IF(_xlpm.horas=0,"",IFERROR(_xlpm.horas/_xlpm.capacidad,"")))</f>
        <v/>
      </c>
      <c r="R213" s="34">
        <f>_xlfn.LET(_xlpm.horas,L213,_xlpm.feriados,IF($H213="CO",FER_CO,FER_EC),_xlpm.capacidad,NETWORKDAYS(L$3,L$4,_xlpm.feriados)*INDEX(Consultores!$C$6:$C$65,MATCH($A213,Consultores!$A$6:$A$65,0)),IF(_xlpm.horas=0,"",IFERROR(_xlpm.horas/_xlpm.capacidad,"")))</f>
        <v/>
      </c>
      <c r="S213" s="34">
        <f>_xlfn.LET(_xlpm.horas,M213,_xlpm.feriados,IF($H213="CO",FER_CO,FER_EC),_xlpm.capacidad,NETWORKDAYS(M$3,M$4,_xlpm.feriados)*INDEX(Consultores!$C$6:$C$65,MATCH($A213,Consultores!$A$6:$A$65,0)),IF(_xlpm.horas=0,"",IFERROR(_xlpm.horas/_xlpm.capacidad,"")))</f>
        <v/>
      </c>
      <c r="T213" s="34">
        <f>_xlfn.LET(_xlpm.horas,N213,_xlpm.feriados,IF($H213="CO",FER_CO,FER_EC),_xlpm.capacidad,NETWORKDAYS(N$3,N$4,_xlpm.feriados)*INDEX(Consultores!$C$6:$C$65,MATCH($A213,Consultores!$A$6:$A$65,0)),IF(_xlpm.horas=0,"",IFERROR(_xlpm.horas/_xlpm.capacidad,"")))</f>
        <v/>
      </c>
      <c r="U213" s="34">
        <f>_xlfn.LET(_xlpm.horas,O213,_xlpm.feriados,IF($H213="CO",FER_CO,FER_EC),_xlpm.capacidad,NETWORKDAYS(O$3,O$4,_xlpm.feriados)*INDEX(Consultores!$C$6:$C$65,MATCH($A213,Consultores!$A$6:$A$65,0)),IF(_xlpm.horas=0,"",IFERROR(_xlpm.horas/_xlpm.capacidad,"")))</f>
        <v/>
      </c>
    </row>
    <row r="214">
      <c r="A214" s="25" t="n"/>
      <c r="B214" s="25" t="n"/>
      <c r="C214" s="25" t="n"/>
      <c r="D214" s="30" t="n"/>
      <c r="E214" s="30" t="n"/>
      <c r="F214" s="26" t="n"/>
      <c r="G214" s="25" t="n"/>
      <c r="H214" s="31">
        <f>IF($A214="","",IFERROR(INDEX(Consultores!$B$6:$B$65,MATCH($A214,Consultores!$A$6:$A$65,0)),"No existe"))</f>
        <v/>
      </c>
      <c r="I214" s="32">
        <f>IF($F214="",0,$F214/5)</f>
        <v/>
      </c>
      <c r="J214" s="33">
        <f>_xlfn.LET(_xlpm.inicio,MAX($D214,J$3),_xlpm.fin,MIN($E214,J$4),_xlpm.feriados,IF($H214="CO",FER_CO,FER_EC),_xlpm.dias,IF(_xlpm.inicio&gt;_xlpm.fin,0,NETWORKDAYS(_xlpm.inicio,_xlpm.fin,_xlpm.feriados)),_xlpm.factor,IF($G214="Probable",IF(Parametros!$B$6="Sí",1,0),1),IF(OR($A214="",$D214="",$E214=""),0,_xlpm.dias*$I214*_xlpm.factor))</f>
        <v/>
      </c>
      <c r="K214" s="33">
        <f>_xlfn.LET(_xlpm.inicio,MAX($D214,K$3),_xlpm.fin,MIN($E214,K$4),_xlpm.feriados,IF($H214="CO",FER_CO,FER_EC),_xlpm.dias,IF(_xlpm.inicio&gt;_xlpm.fin,0,NETWORKDAYS(_xlpm.inicio,_xlpm.fin,_xlpm.feriados)),_xlpm.factor,IF($G214="Probable",IF(Parametros!$B$6="Sí",1,0),1),IF(OR($A214="",$D214="",$E214=""),0,_xlpm.dias*$I214*_xlpm.factor))</f>
        <v/>
      </c>
      <c r="L214" s="33">
        <f>_xlfn.LET(_xlpm.inicio,MAX($D214,L$3),_xlpm.fin,MIN($E214,L$4),_xlpm.feriados,IF($H214="CO",FER_CO,FER_EC),_xlpm.dias,IF(_xlpm.inicio&gt;_xlpm.fin,0,NETWORKDAYS(_xlpm.inicio,_xlpm.fin,_xlpm.feriados)),_xlpm.factor,IF($G214="Probable",IF(Parametros!$B$6="Sí",1,0),1),IF(OR($A214="",$D214="",$E214=""),0,_xlpm.dias*$I214*_xlpm.factor))</f>
        <v/>
      </c>
      <c r="M214" s="33">
        <f>_xlfn.LET(_xlpm.inicio,MAX($D214,M$3),_xlpm.fin,MIN($E214,M$4),_xlpm.feriados,IF($H214="CO",FER_CO,FER_EC),_xlpm.dias,IF(_xlpm.inicio&gt;_xlpm.fin,0,NETWORKDAYS(_xlpm.inicio,_xlpm.fin,_xlpm.feriados)),_xlpm.factor,IF($G214="Probable",IF(Parametros!$B$6="Sí",1,0),1),IF(OR($A214="",$D214="",$E214=""),0,_xlpm.dias*$I214*_xlpm.factor))</f>
        <v/>
      </c>
      <c r="N214" s="33">
        <f>_xlfn.LET(_xlpm.inicio,MAX($D214,N$3),_xlpm.fin,MIN($E214,N$4),_xlpm.feriados,IF($H214="CO",FER_CO,FER_EC),_xlpm.dias,IF(_xlpm.inicio&gt;_xlpm.fin,0,NETWORKDAYS(_xlpm.inicio,_xlpm.fin,_xlpm.feriados)),_xlpm.factor,IF($G214="Probable",IF(Parametros!$B$6="Sí",1,0),1),IF(OR($A214="",$D214="",$E214=""),0,_xlpm.dias*$I214*_xlpm.factor))</f>
        <v/>
      </c>
      <c r="O214" s="33">
        <f>_xlfn.LET(_xlpm.inicio,MAX($D214,O$3),_xlpm.fin,MIN($E214,O$4),_xlpm.feriados,IF($H214="CO",FER_CO,FER_EC),_xlpm.dias,IF(_xlpm.inicio&gt;_xlpm.fin,0,NETWORKDAYS(_xlpm.inicio,_xlpm.fin,_xlpm.feriados)),_xlpm.factor,IF($G214="Probable",IF(Parametros!$B$6="Sí",1,0),1),IF(OR($A214="",$D214="",$E214=""),0,_xlpm.dias*$I214*_xlpm.factor))</f>
        <v/>
      </c>
      <c r="P214" s="34">
        <f>_xlfn.LET(_xlpm.horas,J214,_xlpm.feriados,IF($H214="CO",FER_CO,FER_EC),_xlpm.capacidad,NETWORKDAYS(J$3,J$4,_xlpm.feriados)*INDEX(Consultores!$C$6:$C$65,MATCH($A214,Consultores!$A$6:$A$65,0)),IF(_xlpm.horas=0,"",IFERROR(_xlpm.horas/_xlpm.capacidad,"")))</f>
        <v/>
      </c>
      <c r="Q214" s="34">
        <f>_xlfn.LET(_xlpm.horas,K214,_xlpm.feriados,IF($H214="CO",FER_CO,FER_EC),_xlpm.capacidad,NETWORKDAYS(K$3,K$4,_xlpm.feriados)*INDEX(Consultores!$C$6:$C$65,MATCH($A214,Consultores!$A$6:$A$65,0)),IF(_xlpm.horas=0,"",IFERROR(_xlpm.horas/_xlpm.capacidad,"")))</f>
        <v/>
      </c>
      <c r="R214" s="34">
        <f>_xlfn.LET(_xlpm.horas,L214,_xlpm.feriados,IF($H214="CO",FER_CO,FER_EC),_xlpm.capacidad,NETWORKDAYS(L$3,L$4,_xlpm.feriados)*INDEX(Consultores!$C$6:$C$65,MATCH($A214,Consultores!$A$6:$A$65,0)),IF(_xlpm.horas=0,"",IFERROR(_xlpm.horas/_xlpm.capacidad,"")))</f>
        <v/>
      </c>
      <c r="S214" s="34">
        <f>_xlfn.LET(_xlpm.horas,M214,_xlpm.feriados,IF($H214="CO",FER_CO,FER_EC),_xlpm.capacidad,NETWORKDAYS(M$3,M$4,_xlpm.feriados)*INDEX(Consultores!$C$6:$C$65,MATCH($A214,Consultores!$A$6:$A$65,0)),IF(_xlpm.horas=0,"",IFERROR(_xlpm.horas/_xlpm.capacidad,"")))</f>
        <v/>
      </c>
      <c r="T214" s="34">
        <f>_xlfn.LET(_xlpm.horas,N214,_xlpm.feriados,IF($H214="CO",FER_CO,FER_EC),_xlpm.capacidad,NETWORKDAYS(N$3,N$4,_xlpm.feriados)*INDEX(Consultores!$C$6:$C$65,MATCH($A214,Consultores!$A$6:$A$65,0)),IF(_xlpm.horas=0,"",IFERROR(_xlpm.horas/_xlpm.capacidad,"")))</f>
        <v/>
      </c>
      <c r="U214" s="34">
        <f>_xlfn.LET(_xlpm.horas,O214,_xlpm.feriados,IF($H214="CO",FER_CO,FER_EC),_xlpm.capacidad,NETWORKDAYS(O$3,O$4,_xlpm.feriados)*INDEX(Consultores!$C$6:$C$65,MATCH($A214,Consultores!$A$6:$A$65,0)),IF(_xlpm.horas=0,"",IFERROR(_xlpm.horas/_xlpm.capacidad,"")))</f>
        <v/>
      </c>
    </row>
    <row r="215">
      <c r="A215" s="25" t="n"/>
      <c r="B215" s="25" t="n"/>
      <c r="C215" s="25" t="n"/>
      <c r="D215" s="30" t="n"/>
      <c r="E215" s="30" t="n"/>
      <c r="F215" s="26" t="n"/>
      <c r="G215" s="25" t="n"/>
      <c r="H215" s="31">
        <f>IF($A215="","",IFERROR(INDEX(Consultores!$B$6:$B$65,MATCH($A215,Consultores!$A$6:$A$65,0)),"No existe"))</f>
        <v/>
      </c>
      <c r="I215" s="32">
        <f>IF($F215="",0,$F215/5)</f>
        <v/>
      </c>
      <c r="J215" s="33">
        <f>_xlfn.LET(_xlpm.inicio,MAX($D215,J$3),_xlpm.fin,MIN($E215,J$4),_xlpm.feriados,IF($H215="CO",FER_CO,FER_EC),_xlpm.dias,IF(_xlpm.inicio&gt;_xlpm.fin,0,NETWORKDAYS(_xlpm.inicio,_xlpm.fin,_xlpm.feriados)),_xlpm.factor,IF($G215="Probable",IF(Parametros!$B$6="Sí",1,0),1),IF(OR($A215="",$D215="",$E215=""),0,_xlpm.dias*$I215*_xlpm.factor))</f>
        <v/>
      </c>
      <c r="K215" s="33">
        <f>_xlfn.LET(_xlpm.inicio,MAX($D215,K$3),_xlpm.fin,MIN($E215,K$4),_xlpm.feriados,IF($H215="CO",FER_CO,FER_EC),_xlpm.dias,IF(_xlpm.inicio&gt;_xlpm.fin,0,NETWORKDAYS(_xlpm.inicio,_xlpm.fin,_xlpm.feriados)),_xlpm.factor,IF($G215="Probable",IF(Parametros!$B$6="Sí",1,0),1),IF(OR($A215="",$D215="",$E215=""),0,_xlpm.dias*$I215*_xlpm.factor))</f>
        <v/>
      </c>
      <c r="L215" s="33">
        <f>_xlfn.LET(_xlpm.inicio,MAX($D215,L$3),_xlpm.fin,MIN($E215,L$4),_xlpm.feriados,IF($H215="CO",FER_CO,FER_EC),_xlpm.dias,IF(_xlpm.inicio&gt;_xlpm.fin,0,NETWORKDAYS(_xlpm.inicio,_xlpm.fin,_xlpm.feriados)),_xlpm.factor,IF($G215="Probable",IF(Parametros!$B$6="Sí",1,0),1),IF(OR($A215="",$D215="",$E215=""),0,_xlpm.dias*$I215*_xlpm.factor))</f>
        <v/>
      </c>
      <c r="M215" s="33">
        <f>_xlfn.LET(_xlpm.inicio,MAX($D215,M$3),_xlpm.fin,MIN($E215,M$4),_xlpm.feriados,IF($H215="CO",FER_CO,FER_EC),_xlpm.dias,IF(_xlpm.inicio&gt;_xlpm.fin,0,NETWORKDAYS(_xlpm.inicio,_xlpm.fin,_xlpm.feriados)),_xlpm.factor,IF($G215="Probable",IF(Parametros!$B$6="Sí",1,0),1),IF(OR($A215="",$D215="",$E215=""),0,_xlpm.dias*$I215*_xlpm.factor))</f>
        <v/>
      </c>
      <c r="N215" s="33">
        <f>_xlfn.LET(_xlpm.inicio,MAX($D215,N$3),_xlpm.fin,MIN($E215,N$4),_xlpm.feriados,IF($H215="CO",FER_CO,FER_EC),_xlpm.dias,IF(_xlpm.inicio&gt;_xlpm.fin,0,NETWORKDAYS(_xlpm.inicio,_xlpm.fin,_xlpm.feriados)),_xlpm.factor,IF($G215="Probable",IF(Parametros!$B$6="Sí",1,0),1),IF(OR($A215="",$D215="",$E215=""),0,_xlpm.dias*$I215*_xlpm.factor))</f>
        <v/>
      </c>
      <c r="O215" s="33">
        <f>_xlfn.LET(_xlpm.inicio,MAX($D215,O$3),_xlpm.fin,MIN($E215,O$4),_xlpm.feriados,IF($H215="CO",FER_CO,FER_EC),_xlpm.dias,IF(_xlpm.inicio&gt;_xlpm.fin,0,NETWORKDAYS(_xlpm.inicio,_xlpm.fin,_xlpm.feriados)),_xlpm.factor,IF($G215="Probable",IF(Parametros!$B$6="Sí",1,0),1),IF(OR($A215="",$D215="",$E215=""),0,_xlpm.dias*$I215*_xlpm.factor))</f>
        <v/>
      </c>
      <c r="P215" s="34">
        <f>_xlfn.LET(_xlpm.horas,J215,_xlpm.feriados,IF($H215="CO",FER_CO,FER_EC),_xlpm.capacidad,NETWORKDAYS(J$3,J$4,_xlpm.feriados)*INDEX(Consultores!$C$6:$C$65,MATCH($A215,Consultores!$A$6:$A$65,0)),IF(_xlpm.horas=0,"",IFERROR(_xlpm.horas/_xlpm.capacidad,"")))</f>
        <v/>
      </c>
      <c r="Q215" s="34">
        <f>_xlfn.LET(_xlpm.horas,K215,_xlpm.feriados,IF($H215="CO",FER_CO,FER_EC),_xlpm.capacidad,NETWORKDAYS(K$3,K$4,_xlpm.feriados)*INDEX(Consultores!$C$6:$C$65,MATCH($A215,Consultores!$A$6:$A$65,0)),IF(_xlpm.horas=0,"",IFERROR(_xlpm.horas/_xlpm.capacidad,"")))</f>
        <v/>
      </c>
      <c r="R215" s="34">
        <f>_xlfn.LET(_xlpm.horas,L215,_xlpm.feriados,IF($H215="CO",FER_CO,FER_EC),_xlpm.capacidad,NETWORKDAYS(L$3,L$4,_xlpm.feriados)*INDEX(Consultores!$C$6:$C$65,MATCH($A215,Consultores!$A$6:$A$65,0)),IF(_xlpm.horas=0,"",IFERROR(_xlpm.horas/_xlpm.capacidad,"")))</f>
        <v/>
      </c>
      <c r="S215" s="34">
        <f>_xlfn.LET(_xlpm.horas,M215,_xlpm.feriados,IF($H215="CO",FER_CO,FER_EC),_xlpm.capacidad,NETWORKDAYS(M$3,M$4,_xlpm.feriados)*INDEX(Consultores!$C$6:$C$65,MATCH($A215,Consultores!$A$6:$A$65,0)),IF(_xlpm.horas=0,"",IFERROR(_xlpm.horas/_xlpm.capacidad,"")))</f>
        <v/>
      </c>
      <c r="T215" s="34">
        <f>_xlfn.LET(_xlpm.horas,N215,_xlpm.feriados,IF($H215="CO",FER_CO,FER_EC),_xlpm.capacidad,NETWORKDAYS(N$3,N$4,_xlpm.feriados)*INDEX(Consultores!$C$6:$C$65,MATCH($A215,Consultores!$A$6:$A$65,0)),IF(_xlpm.horas=0,"",IFERROR(_xlpm.horas/_xlpm.capacidad,"")))</f>
        <v/>
      </c>
      <c r="U215" s="34">
        <f>_xlfn.LET(_xlpm.horas,O215,_xlpm.feriados,IF($H215="CO",FER_CO,FER_EC),_xlpm.capacidad,NETWORKDAYS(O$3,O$4,_xlpm.feriados)*INDEX(Consultores!$C$6:$C$65,MATCH($A215,Consultores!$A$6:$A$65,0)),IF(_xlpm.horas=0,"",IFERROR(_xlpm.horas/_xlpm.capacidad,"")))</f>
        <v/>
      </c>
    </row>
    <row r="216">
      <c r="A216" s="25" t="n"/>
      <c r="B216" s="25" t="n"/>
      <c r="C216" s="25" t="n"/>
      <c r="D216" s="30" t="n"/>
      <c r="E216" s="30" t="n"/>
      <c r="F216" s="26" t="n"/>
      <c r="G216" s="25" t="n"/>
      <c r="H216" s="31">
        <f>IF($A216="","",IFERROR(INDEX(Consultores!$B$6:$B$65,MATCH($A216,Consultores!$A$6:$A$65,0)),"No existe"))</f>
        <v/>
      </c>
      <c r="I216" s="32">
        <f>IF($F216="",0,$F216/5)</f>
        <v/>
      </c>
      <c r="J216" s="33">
        <f>_xlfn.LET(_xlpm.inicio,MAX($D216,J$3),_xlpm.fin,MIN($E216,J$4),_xlpm.feriados,IF($H216="CO",FER_CO,FER_EC),_xlpm.dias,IF(_xlpm.inicio&gt;_xlpm.fin,0,NETWORKDAYS(_xlpm.inicio,_xlpm.fin,_xlpm.feriados)),_xlpm.factor,IF($G216="Probable",IF(Parametros!$B$6="Sí",1,0),1),IF(OR($A216="",$D216="",$E216=""),0,_xlpm.dias*$I216*_xlpm.factor))</f>
        <v/>
      </c>
      <c r="K216" s="33">
        <f>_xlfn.LET(_xlpm.inicio,MAX($D216,K$3),_xlpm.fin,MIN($E216,K$4),_xlpm.feriados,IF($H216="CO",FER_CO,FER_EC),_xlpm.dias,IF(_xlpm.inicio&gt;_xlpm.fin,0,NETWORKDAYS(_xlpm.inicio,_xlpm.fin,_xlpm.feriados)),_xlpm.factor,IF($G216="Probable",IF(Parametros!$B$6="Sí",1,0),1),IF(OR($A216="",$D216="",$E216=""),0,_xlpm.dias*$I216*_xlpm.factor))</f>
        <v/>
      </c>
      <c r="L216" s="33">
        <f>_xlfn.LET(_xlpm.inicio,MAX($D216,L$3),_xlpm.fin,MIN($E216,L$4),_xlpm.feriados,IF($H216="CO",FER_CO,FER_EC),_xlpm.dias,IF(_xlpm.inicio&gt;_xlpm.fin,0,NETWORKDAYS(_xlpm.inicio,_xlpm.fin,_xlpm.feriados)),_xlpm.factor,IF($G216="Probable",IF(Parametros!$B$6="Sí",1,0),1),IF(OR($A216="",$D216="",$E216=""),0,_xlpm.dias*$I216*_xlpm.factor))</f>
        <v/>
      </c>
      <c r="M216" s="33">
        <f>_xlfn.LET(_xlpm.inicio,MAX($D216,M$3),_xlpm.fin,MIN($E216,M$4),_xlpm.feriados,IF($H216="CO",FER_CO,FER_EC),_xlpm.dias,IF(_xlpm.inicio&gt;_xlpm.fin,0,NETWORKDAYS(_xlpm.inicio,_xlpm.fin,_xlpm.feriados)),_xlpm.factor,IF($G216="Probable",IF(Parametros!$B$6="Sí",1,0),1),IF(OR($A216="",$D216="",$E216=""),0,_xlpm.dias*$I216*_xlpm.factor))</f>
        <v/>
      </c>
      <c r="N216" s="33">
        <f>_xlfn.LET(_xlpm.inicio,MAX($D216,N$3),_xlpm.fin,MIN($E216,N$4),_xlpm.feriados,IF($H216="CO",FER_CO,FER_EC),_xlpm.dias,IF(_xlpm.inicio&gt;_xlpm.fin,0,NETWORKDAYS(_xlpm.inicio,_xlpm.fin,_xlpm.feriados)),_xlpm.factor,IF($G216="Probable",IF(Parametros!$B$6="Sí",1,0),1),IF(OR($A216="",$D216="",$E216=""),0,_xlpm.dias*$I216*_xlpm.factor))</f>
        <v/>
      </c>
      <c r="O216" s="33">
        <f>_xlfn.LET(_xlpm.inicio,MAX($D216,O$3),_xlpm.fin,MIN($E216,O$4),_xlpm.feriados,IF($H216="CO",FER_CO,FER_EC),_xlpm.dias,IF(_xlpm.inicio&gt;_xlpm.fin,0,NETWORKDAYS(_xlpm.inicio,_xlpm.fin,_xlpm.feriados)),_xlpm.factor,IF($G216="Probable",IF(Parametros!$B$6="Sí",1,0),1),IF(OR($A216="",$D216="",$E216=""),0,_xlpm.dias*$I216*_xlpm.factor))</f>
        <v/>
      </c>
      <c r="P216" s="34">
        <f>_xlfn.LET(_xlpm.horas,J216,_xlpm.feriados,IF($H216="CO",FER_CO,FER_EC),_xlpm.capacidad,NETWORKDAYS(J$3,J$4,_xlpm.feriados)*INDEX(Consultores!$C$6:$C$65,MATCH($A216,Consultores!$A$6:$A$65,0)),IF(_xlpm.horas=0,"",IFERROR(_xlpm.horas/_xlpm.capacidad,"")))</f>
        <v/>
      </c>
      <c r="Q216" s="34">
        <f>_xlfn.LET(_xlpm.horas,K216,_xlpm.feriados,IF($H216="CO",FER_CO,FER_EC),_xlpm.capacidad,NETWORKDAYS(K$3,K$4,_xlpm.feriados)*INDEX(Consultores!$C$6:$C$65,MATCH($A216,Consultores!$A$6:$A$65,0)),IF(_xlpm.horas=0,"",IFERROR(_xlpm.horas/_xlpm.capacidad,"")))</f>
        <v/>
      </c>
      <c r="R216" s="34">
        <f>_xlfn.LET(_xlpm.horas,L216,_xlpm.feriados,IF($H216="CO",FER_CO,FER_EC),_xlpm.capacidad,NETWORKDAYS(L$3,L$4,_xlpm.feriados)*INDEX(Consultores!$C$6:$C$65,MATCH($A216,Consultores!$A$6:$A$65,0)),IF(_xlpm.horas=0,"",IFERROR(_xlpm.horas/_xlpm.capacidad,"")))</f>
        <v/>
      </c>
      <c r="S216" s="34">
        <f>_xlfn.LET(_xlpm.horas,M216,_xlpm.feriados,IF($H216="CO",FER_CO,FER_EC),_xlpm.capacidad,NETWORKDAYS(M$3,M$4,_xlpm.feriados)*INDEX(Consultores!$C$6:$C$65,MATCH($A216,Consultores!$A$6:$A$65,0)),IF(_xlpm.horas=0,"",IFERROR(_xlpm.horas/_xlpm.capacidad,"")))</f>
        <v/>
      </c>
      <c r="T216" s="34">
        <f>_xlfn.LET(_xlpm.horas,N216,_xlpm.feriados,IF($H216="CO",FER_CO,FER_EC),_xlpm.capacidad,NETWORKDAYS(N$3,N$4,_xlpm.feriados)*INDEX(Consultores!$C$6:$C$65,MATCH($A216,Consultores!$A$6:$A$65,0)),IF(_xlpm.horas=0,"",IFERROR(_xlpm.horas/_xlpm.capacidad,"")))</f>
        <v/>
      </c>
      <c r="U216" s="34">
        <f>_xlfn.LET(_xlpm.horas,O216,_xlpm.feriados,IF($H216="CO",FER_CO,FER_EC),_xlpm.capacidad,NETWORKDAYS(O$3,O$4,_xlpm.feriados)*INDEX(Consultores!$C$6:$C$65,MATCH($A216,Consultores!$A$6:$A$65,0)),IF(_xlpm.horas=0,"",IFERROR(_xlpm.horas/_xlpm.capacidad,"")))</f>
        <v/>
      </c>
    </row>
    <row r="217">
      <c r="A217" s="25" t="n"/>
      <c r="B217" s="25" t="n"/>
      <c r="C217" s="25" t="n"/>
      <c r="D217" s="30" t="n"/>
      <c r="E217" s="30" t="n"/>
      <c r="F217" s="26" t="n"/>
      <c r="G217" s="25" t="n"/>
      <c r="H217" s="31">
        <f>IF($A217="","",IFERROR(INDEX(Consultores!$B$6:$B$65,MATCH($A217,Consultores!$A$6:$A$65,0)),"No existe"))</f>
        <v/>
      </c>
      <c r="I217" s="32">
        <f>IF($F217="",0,$F217/5)</f>
        <v/>
      </c>
      <c r="J217" s="33">
        <f>_xlfn.LET(_xlpm.inicio,MAX($D217,J$3),_xlpm.fin,MIN($E217,J$4),_xlpm.feriados,IF($H217="CO",FER_CO,FER_EC),_xlpm.dias,IF(_xlpm.inicio&gt;_xlpm.fin,0,NETWORKDAYS(_xlpm.inicio,_xlpm.fin,_xlpm.feriados)),_xlpm.factor,IF($G217="Probable",IF(Parametros!$B$6="Sí",1,0),1),IF(OR($A217="",$D217="",$E217=""),0,_xlpm.dias*$I217*_xlpm.factor))</f>
        <v/>
      </c>
      <c r="K217" s="33">
        <f>_xlfn.LET(_xlpm.inicio,MAX($D217,K$3),_xlpm.fin,MIN($E217,K$4),_xlpm.feriados,IF($H217="CO",FER_CO,FER_EC),_xlpm.dias,IF(_xlpm.inicio&gt;_xlpm.fin,0,NETWORKDAYS(_xlpm.inicio,_xlpm.fin,_xlpm.feriados)),_xlpm.factor,IF($G217="Probable",IF(Parametros!$B$6="Sí",1,0),1),IF(OR($A217="",$D217="",$E217=""),0,_xlpm.dias*$I217*_xlpm.factor))</f>
        <v/>
      </c>
      <c r="L217" s="33">
        <f>_xlfn.LET(_xlpm.inicio,MAX($D217,L$3),_xlpm.fin,MIN($E217,L$4),_xlpm.feriados,IF($H217="CO",FER_CO,FER_EC),_xlpm.dias,IF(_xlpm.inicio&gt;_xlpm.fin,0,NETWORKDAYS(_xlpm.inicio,_xlpm.fin,_xlpm.feriados)),_xlpm.factor,IF($G217="Probable",IF(Parametros!$B$6="Sí",1,0),1),IF(OR($A217="",$D217="",$E217=""),0,_xlpm.dias*$I217*_xlpm.factor))</f>
        <v/>
      </c>
      <c r="M217" s="33">
        <f>_xlfn.LET(_xlpm.inicio,MAX($D217,M$3),_xlpm.fin,MIN($E217,M$4),_xlpm.feriados,IF($H217="CO",FER_CO,FER_EC),_xlpm.dias,IF(_xlpm.inicio&gt;_xlpm.fin,0,NETWORKDAYS(_xlpm.inicio,_xlpm.fin,_xlpm.feriados)),_xlpm.factor,IF($G217="Probable",IF(Parametros!$B$6="Sí",1,0),1),IF(OR($A217="",$D217="",$E217=""),0,_xlpm.dias*$I217*_xlpm.factor))</f>
        <v/>
      </c>
      <c r="N217" s="33">
        <f>_xlfn.LET(_xlpm.inicio,MAX($D217,N$3),_xlpm.fin,MIN($E217,N$4),_xlpm.feriados,IF($H217="CO",FER_CO,FER_EC),_xlpm.dias,IF(_xlpm.inicio&gt;_xlpm.fin,0,NETWORKDAYS(_xlpm.inicio,_xlpm.fin,_xlpm.feriados)),_xlpm.factor,IF($G217="Probable",IF(Parametros!$B$6="Sí",1,0),1),IF(OR($A217="",$D217="",$E217=""),0,_xlpm.dias*$I217*_xlpm.factor))</f>
        <v/>
      </c>
      <c r="O217" s="33">
        <f>_xlfn.LET(_xlpm.inicio,MAX($D217,O$3),_xlpm.fin,MIN($E217,O$4),_xlpm.feriados,IF($H217="CO",FER_CO,FER_EC),_xlpm.dias,IF(_xlpm.inicio&gt;_xlpm.fin,0,NETWORKDAYS(_xlpm.inicio,_xlpm.fin,_xlpm.feriados)),_xlpm.factor,IF($G217="Probable",IF(Parametros!$B$6="Sí",1,0),1),IF(OR($A217="",$D217="",$E217=""),0,_xlpm.dias*$I217*_xlpm.factor))</f>
        <v/>
      </c>
      <c r="P217" s="34">
        <f>_xlfn.LET(_xlpm.horas,J217,_xlpm.feriados,IF($H217="CO",FER_CO,FER_EC),_xlpm.capacidad,NETWORKDAYS(J$3,J$4,_xlpm.feriados)*INDEX(Consultores!$C$6:$C$65,MATCH($A217,Consultores!$A$6:$A$65,0)),IF(_xlpm.horas=0,"",IFERROR(_xlpm.horas/_xlpm.capacidad,"")))</f>
        <v/>
      </c>
      <c r="Q217" s="34">
        <f>_xlfn.LET(_xlpm.horas,K217,_xlpm.feriados,IF($H217="CO",FER_CO,FER_EC),_xlpm.capacidad,NETWORKDAYS(K$3,K$4,_xlpm.feriados)*INDEX(Consultores!$C$6:$C$65,MATCH($A217,Consultores!$A$6:$A$65,0)),IF(_xlpm.horas=0,"",IFERROR(_xlpm.horas/_xlpm.capacidad,"")))</f>
        <v/>
      </c>
      <c r="R217" s="34">
        <f>_xlfn.LET(_xlpm.horas,L217,_xlpm.feriados,IF($H217="CO",FER_CO,FER_EC),_xlpm.capacidad,NETWORKDAYS(L$3,L$4,_xlpm.feriados)*INDEX(Consultores!$C$6:$C$65,MATCH($A217,Consultores!$A$6:$A$65,0)),IF(_xlpm.horas=0,"",IFERROR(_xlpm.horas/_xlpm.capacidad,"")))</f>
        <v/>
      </c>
      <c r="S217" s="34">
        <f>_xlfn.LET(_xlpm.horas,M217,_xlpm.feriados,IF($H217="CO",FER_CO,FER_EC),_xlpm.capacidad,NETWORKDAYS(M$3,M$4,_xlpm.feriados)*INDEX(Consultores!$C$6:$C$65,MATCH($A217,Consultores!$A$6:$A$65,0)),IF(_xlpm.horas=0,"",IFERROR(_xlpm.horas/_xlpm.capacidad,"")))</f>
        <v/>
      </c>
      <c r="T217" s="34">
        <f>_xlfn.LET(_xlpm.horas,N217,_xlpm.feriados,IF($H217="CO",FER_CO,FER_EC),_xlpm.capacidad,NETWORKDAYS(N$3,N$4,_xlpm.feriados)*INDEX(Consultores!$C$6:$C$65,MATCH($A217,Consultores!$A$6:$A$65,0)),IF(_xlpm.horas=0,"",IFERROR(_xlpm.horas/_xlpm.capacidad,"")))</f>
        <v/>
      </c>
      <c r="U217" s="34">
        <f>_xlfn.LET(_xlpm.horas,O217,_xlpm.feriados,IF($H217="CO",FER_CO,FER_EC),_xlpm.capacidad,NETWORKDAYS(O$3,O$4,_xlpm.feriados)*INDEX(Consultores!$C$6:$C$65,MATCH($A217,Consultores!$A$6:$A$65,0)),IF(_xlpm.horas=0,"",IFERROR(_xlpm.horas/_xlpm.capacidad,"")))</f>
        <v/>
      </c>
    </row>
    <row r="218">
      <c r="A218" s="25" t="n"/>
      <c r="B218" s="25" t="n"/>
      <c r="C218" s="25" t="n"/>
      <c r="D218" s="30" t="n"/>
      <c r="E218" s="30" t="n"/>
      <c r="F218" s="26" t="n"/>
      <c r="G218" s="25" t="n"/>
      <c r="H218" s="31">
        <f>IF($A218="","",IFERROR(INDEX(Consultores!$B$6:$B$65,MATCH($A218,Consultores!$A$6:$A$65,0)),"No existe"))</f>
        <v/>
      </c>
      <c r="I218" s="32">
        <f>IF($F218="",0,$F218/5)</f>
        <v/>
      </c>
      <c r="J218" s="33">
        <f>_xlfn.LET(_xlpm.inicio,MAX($D218,J$3),_xlpm.fin,MIN($E218,J$4),_xlpm.feriados,IF($H218="CO",FER_CO,FER_EC),_xlpm.dias,IF(_xlpm.inicio&gt;_xlpm.fin,0,NETWORKDAYS(_xlpm.inicio,_xlpm.fin,_xlpm.feriados)),_xlpm.factor,IF($G218="Probable",IF(Parametros!$B$6="Sí",1,0),1),IF(OR($A218="",$D218="",$E218=""),0,_xlpm.dias*$I218*_xlpm.factor))</f>
        <v/>
      </c>
      <c r="K218" s="33">
        <f>_xlfn.LET(_xlpm.inicio,MAX($D218,K$3),_xlpm.fin,MIN($E218,K$4),_xlpm.feriados,IF($H218="CO",FER_CO,FER_EC),_xlpm.dias,IF(_xlpm.inicio&gt;_xlpm.fin,0,NETWORKDAYS(_xlpm.inicio,_xlpm.fin,_xlpm.feriados)),_xlpm.factor,IF($G218="Probable",IF(Parametros!$B$6="Sí",1,0),1),IF(OR($A218="",$D218="",$E218=""),0,_xlpm.dias*$I218*_xlpm.factor))</f>
        <v/>
      </c>
      <c r="L218" s="33">
        <f>_xlfn.LET(_xlpm.inicio,MAX($D218,L$3),_xlpm.fin,MIN($E218,L$4),_xlpm.feriados,IF($H218="CO",FER_CO,FER_EC),_xlpm.dias,IF(_xlpm.inicio&gt;_xlpm.fin,0,NETWORKDAYS(_xlpm.inicio,_xlpm.fin,_xlpm.feriados)),_xlpm.factor,IF($G218="Probable",IF(Parametros!$B$6="Sí",1,0),1),IF(OR($A218="",$D218="",$E218=""),0,_xlpm.dias*$I218*_xlpm.factor))</f>
        <v/>
      </c>
      <c r="M218" s="33">
        <f>_xlfn.LET(_xlpm.inicio,MAX($D218,M$3),_xlpm.fin,MIN($E218,M$4),_xlpm.feriados,IF($H218="CO",FER_CO,FER_EC),_xlpm.dias,IF(_xlpm.inicio&gt;_xlpm.fin,0,NETWORKDAYS(_xlpm.inicio,_xlpm.fin,_xlpm.feriados)),_xlpm.factor,IF($G218="Probable",IF(Parametros!$B$6="Sí",1,0),1),IF(OR($A218="",$D218="",$E218=""),0,_xlpm.dias*$I218*_xlpm.factor))</f>
        <v/>
      </c>
      <c r="N218" s="33">
        <f>_xlfn.LET(_xlpm.inicio,MAX($D218,N$3),_xlpm.fin,MIN($E218,N$4),_xlpm.feriados,IF($H218="CO",FER_CO,FER_EC),_xlpm.dias,IF(_xlpm.inicio&gt;_xlpm.fin,0,NETWORKDAYS(_xlpm.inicio,_xlpm.fin,_xlpm.feriados)),_xlpm.factor,IF($G218="Probable",IF(Parametros!$B$6="Sí",1,0),1),IF(OR($A218="",$D218="",$E218=""),0,_xlpm.dias*$I218*_xlpm.factor))</f>
        <v/>
      </c>
      <c r="O218" s="33">
        <f>_xlfn.LET(_xlpm.inicio,MAX($D218,O$3),_xlpm.fin,MIN($E218,O$4),_xlpm.feriados,IF($H218="CO",FER_CO,FER_EC),_xlpm.dias,IF(_xlpm.inicio&gt;_xlpm.fin,0,NETWORKDAYS(_xlpm.inicio,_xlpm.fin,_xlpm.feriados)),_xlpm.factor,IF($G218="Probable",IF(Parametros!$B$6="Sí",1,0),1),IF(OR($A218="",$D218="",$E218=""),0,_xlpm.dias*$I218*_xlpm.factor))</f>
        <v/>
      </c>
      <c r="P218" s="34">
        <f>_xlfn.LET(_xlpm.horas,J218,_xlpm.feriados,IF($H218="CO",FER_CO,FER_EC),_xlpm.capacidad,NETWORKDAYS(J$3,J$4,_xlpm.feriados)*INDEX(Consultores!$C$6:$C$65,MATCH($A218,Consultores!$A$6:$A$65,0)),IF(_xlpm.horas=0,"",IFERROR(_xlpm.horas/_xlpm.capacidad,"")))</f>
        <v/>
      </c>
      <c r="Q218" s="34">
        <f>_xlfn.LET(_xlpm.horas,K218,_xlpm.feriados,IF($H218="CO",FER_CO,FER_EC),_xlpm.capacidad,NETWORKDAYS(K$3,K$4,_xlpm.feriados)*INDEX(Consultores!$C$6:$C$65,MATCH($A218,Consultores!$A$6:$A$65,0)),IF(_xlpm.horas=0,"",IFERROR(_xlpm.horas/_xlpm.capacidad,"")))</f>
        <v/>
      </c>
      <c r="R218" s="34">
        <f>_xlfn.LET(_xlpm.horas,L218,_xlpm.feriados,IF($H218="CO",FER_CO,FER_EC),_xlpm.capacidad,NETWORKDAYS(L$3,L$4,_xlpm.feriados)*INDEX(Consultores!$C$6:$C$65,MATCH($A218,Consultores!$A$6:$A$65,0)),IF(_xlpm.horas=0,"",IFERROR(_xlpm.horas/_xlpm.capacidad,"")))</f>
        <v/>
      </c>
      <c r="S218" s="34">
        <f>_xlfn.LET(_xlpm.horas,M218,_xlpm.feriados,IF($H218="CO",FER_CO,FER_EC),_xlpm.capacidad,NETWORKDAYS(M$3,M$4,_xlpm.feriados)*INDEX(Consultores!$C$6:$C$65,MATCH($A218,Consultores!$A$6:$A$65,0)),IF(_xlpm.horas=0,"",IFERROR(_xlpm.horas/_xlpm.capacidad,"")))</f>
        <v/>
      </c>
      <c r="T218" s="34">
        <f>_xlfn.LET(_xlpm.horas,N218,_xlpm.feriados,IF($H218="CO",FER_CO,FER_EC),_xlpm.capacidad,NETWORKDAYS(N$3,N$4,_xlpm.feriados)*INDEX(Consultores!$C$6:$C$65,MATCH($A218,Consultores!$A$6:$A$65,0)),IF(_xlpm.horas=0,"",IFERROR(_xlpm.horas/_xlpm.capacidad,"")))</f>
        <v/>
      </c>
      <c r="U218" s="34">
        <f>_xlfn.LET(_xlpm.horas,O218,_xlpm.feriados,IF($H218="CO",FER_CO,FER_EC),_xlpm.capacidad,NETWORKDAYS(O$3,O$4,_xlpm.feriados)*INDEX(Consultores!$C$6:$C$65,MATCH($A218,Consultores!$A$6:$A$65,0)),IF(_xlpm.horas=0,"",IFERROR(_xlpm.horas/_xlpm.capacidad,"")))</f>
        <v/>
      </c>
    </row>
    <row r="219">
      <c r="A219" s="25" t="n"/>
      <c r="B219" s="25" t="n"/>
      <c r="C219" s="25" t="n"/>
      <c r="D219" s="30" t="n"/>
      <c r="E219" s="30" t="n"/>
      <c r="F219" s="26" t="n"/>
      <c r="G219" s="25" t="n"/>
      <c r="H219" s="31">
        <f>IF($A219="","",IFERROR(INDEX(Consultores!$B$6:$B$65,MATCH($A219,Consultores!$A$6:$A$65,0)),"No existe"))</f>
        <v/>
      </c>
      <c r="I219" s="32">
        <f>IF($F219="",0,$F219/5)</f>
        <v/>
      </c>
      <c r="J219" s="33">
        <f>_xlfn.LET(_xlpm.inicio,MAX($D219,J$3),_xlpm.fin,MIN($E219,J$4),_xlpm.feriados,IF($H219="CO",FER_CO,FER_EC),_xlpm.dias,IF(_xlpm.inicio&gt;_xlpm.fin,0,NETWORKDAYS(_xlpm.inicio,_xlpm.fin,_xlpm.feriados)),_xlpm.factor,IF($G219="Probable",IF(Parametros!$B$6="Sí",1,0),1),IF(OR($A219="",$D219="",$E219=""),0,_xlpm.dias*$I219*_xlpm.factor))</f>
        <v/>
      </c>
      <c r="K219" s="33">
        <f>_xlfn.LET(_xlpm.inicio,MAX($D219,K$3),_xlpm.fin,MIN($E219,K$4),_xlpm.feriados,IF($H219="CO",FER_CO,FER_EC),_xlpm.dias,IF(_xlpm.inicio&gt;_xlpm.fin,0,NETWORKDAYS(_xlpm.inicio,_xlpm.fin,_xlpm.feriados)),_xlpm.factor,IF($G219="Probable",IF(Parametros!$B$6="Sí",1,0),1),IF(OR($A219="",$D219="",$E219=""),0,_xlpm.dias*$I219*_xlpm.factor))</f>
        <v/>
      </c>
      <c r="L219" s="33">
        <f>_xlfn.LET(_xlpm.inicio,MAX($D219,L$3),_xlpm.fin,MIN($E219,L$4),_xlpm.feriados,IF($H219="CO",FER_CO,FER_EC),_xlpm.dias,IF(_xlpm.inicio&gt;_xlpm.fin,0,NETWORKDAYS(_xlpm.inicio,_xlpm.fin,_xlpm.feriados)),_xlpm.factor,IF($G219="Probable",IF(Parametros!$B$6="Sí",1,0),1),IF(OR($A219="",$D219="",$E219=""),0,_xlpm.dias*$I219*_xlpm.factor))</f>
        <v/>
      </c>
      <c r="M219" s="33">
        <f>_xlfn.LET(_xlpm.inicio,MAX($D219,M$3),_xlpm.fin,MIN($E219,M$4),_xlpm.feriados,IF($H219="CO",FER_CO,FER_EC),_xlpm.dias,IF(_xlpm.inicio&gt;_xlpm.fin,0,NETWORKDAYS(_xlpm.inicio,_xlpm.fin,_xlpm.feriados)),_xlpm.factor,IF($G219="Probable",IF(Parametros!$B$6="Sí",1,0),1),IF(OR($A219="",$D219="",$E219=""),0,_xlpm.dias*$I219*_xlpm.factor))</f>
        <v/>
      </c>
      <c r="N219" s="33">
        <f>_xlfn.LET(_xlpm.inicio,MAX($D219,N$3),_xlpm.fin,MIN($E219,N$4),_xlpm.feriados,IF($H219="CO",FER_CO,FER_EC),_xlpm.dias,IF(_xlpm.inicio&gt;_xlpm.fin,0,NETWORKDAYS(_xlpm.inicio,_xlpm.fin,_xlpm.feriados)),_xlpm.factor,IF($G219="Probable",IF(Parametros!$B$6="Sí",1,0),1),IF(OR($A219="",$D219="",$E219=""),0,_xlpm.dias*$I219*_xlpm.factor))</f>
        <v/>
      </c>
      <c r="O219" s="33">
        <f>_xlfn.LET(_xlpm.inicio,MAX($D219,O$3),_xlpm.fin,MIN($E219,O$4),_xlpm.feriados,IF($H219="CO",FER_CO,FER_EC),_xlpm.dias,IF(_xlpm.inicio&gt;_xlpm.fin,0,NETWORKDAYS(_xlpm.inicio,_xlpm.fin,_xlpm.feriados)),_xlpm.factor,IF($G219="Probable",IF(Parametros!$B$6="Sí",1,0),1),IF(OR($A219="",$D219="",$E219=""),0,_xlpm.dias*$I219*_xlpm.factor))</f>
        <v/>
      </c>
      <c r="P219" s="34">
        <f>_xlfn.LET(_xlpm.horas,J219,_xlpm.feriados,IF($H219="CO",FER_CO,FER_EC),_xlpm.capacidad,NETWORKDAYS(J$3,J$4,_xlpm.feriados)*INDEX(Consultores!$C$6:$C$65,MATCH($A219,Consultores!$A$6:$A$65,0)),IF(_xlpm.horas=0,"",IFERROR(_xlpm.horas/_xlpm.capacidad,"")))</f>
        <v/>
      </c>
      <c r="Q219" s="34">
        <f>_xlfn.LET(_xlpm.horas,K219,_xlpm.feriados,IF($H219="CO",FER_CO,FER_EC),_xlpm.capacidad,NETWORKDAYS(K$3,K$4,_xlpm.feriados)*INDEX(Consultores!$C$6:$C$65,MATCH($A219,Consultores!$A$6:$A$65,0)),IF(_xlpm.horas=0,"",IFERROR(_xlpm.horas/_xlpm.capacidad,"")))</f>
        <v/>
      </c>
      <c r="R219" s="34">
        <f>_xlfn.LET(_xlpm.horas,L219,_xlpm.feriados,IF($H219="CO",FER_CO,FER_EC),_xlpm.capacidad,NETWORKDAYS(L$3,L$4,_xlpm.feriados)*INDEX(Consultores!$C$6:$C$65,MATCH($A219,Consultores!$A$6:$A$65,0)),IF(_xlpm.horas=0,"",IFERROR(_xlpm.horas/_xlpm.capacidad,"")))</f>
        <v/>
      </c>
      <c r="S219" s="34">
        <f>_xlfn.LET(_xlpm.horas,M219,_xlpm.feriados,IF($H219="CO",FER_CO,FER_EC),_xlpm.capacidad,NETWORKDAYS(M$3,M$4,_xlpm.feriados)*INDEX(Consultores!$C$6:$C$65,MATCH($A219,Consultores!$A$6:$A$65,0)),IF(_xlpm.horas=0,"",IFERROR(_xlpm.horas/_xlpm.capacidad,"")))</f>
        <v/>
      </c>
      <c r="T219" s="34">
        <f>_xlfn.LET(_xlpm.horas,N219,_xlpm.feriados,IF($H219="CO",FER_CO,FER_EC),_xlpm.capacidad,NETWORKDAYS(N$3,N$4,_xlpm.feriados)*INDEX(Consultores!$C$6:$C$65,MATCH($A219,Consultores!$A$6:$A$65,0)),IF(_xlpm.horas=0,"",IFERROR(_xlpm.horas/_xlpm.capacidad,"")))</f>
        <v/>
      </c>
      <c r="U219" s="34">
        <f>_xlfn.LET(_xlpm.horas,O219,_xlpm.feriados,IF($H219="CO",FER_CO,FER_EC),_xlpm.capacidad,NETWORKDAYS(O$3,O$4,_xlpm.feriados)*INDEX(Consultores!$C$6:$C$65,MATCH($A219,Consultores!$A$6:$A$65,0)),IF(_xlpm.horas=0,"",IFERROR(_xlpm.horas/_xlpm.capacidad,"")))</f>
        <v/>
      </c>
    </row>
    <row r="220">
      <c r="A220" s="25" t="n"/>
      <c r="B220" s="25" t="n"/>
      <c r="C220" s="25" t="n"/>
      <c r="D220" s="30" t="n"/>
      <c r="E220" s="30" t="n"/>
      <c r="F220" s="26" t="n"/>
      <c r="G220" s="25" t="n"/>
      <c r="H220" s="31">
        <f>IF($A220="","",IFERROR(INDEX(Consultores!$B$6:$B$65,MATCH($A220,Consultores!$A$6:$A$65,0)),"No existe"))</f>
        <v/>
      </c>
      <c r="I220" s="32">
        <f>IF($F220="",0,$F220/5)</f>
        <v/>
      </c>
      <c r="J220" s="33">
        <f>_xlfn.LET(_xlpm.inicio,MAX($D220,J$3),_xlpm.fin,MIN($E220,J$4),_xlpm.feriados,IF($H220="CO",FER_CO,FER_EC),_xlpm.dias,IF(_xlpm.inicio&gt;_xlpm.fin,0,NETWORKDAYS(_xlpm.inicio,_xlpm.fin,_xlpm.feriados)),_xlpm.factor,IF($G220="Probable",IF(Parametros!$B$6="Sí",1,0),1),IF(OR($A220="",$D220="",$E220=""),0,_xlpm.dias*$I220*_xlpm.factor))</f>
        <v/>
      </c>
      <c r="K220" s="33">
        <f>_xlfn.LET(_xlpm.inicio,MAX($D220,K$3),_xlpm.fin,MIN($E220,K$4),_xlpm.feriados,IF($H220="CO",FER_CO,FER_EC),_xlpm.dias,IF(_xlpm.inicio&gt;_xlpm.fin,0,NETWORKDAYS(_xlpm.inicio,_xlpm.fin,_xlpm.feriados)),_xlpm.factor,IF($G220="Probable",IF(Parametros!$B$6="Sí",1,0),1),IF(OR($A220="",$D220="",$E220=""),0,_xlpm.dias*$I220*_xlpm.factor))</f>
        <v/>
      </c>
      <c r="L220" s="33">
        <f>_xlfn.LET(_xlpm.inicio,MAX($D220,L$3),_xlpm.fin,MIN($E220,L$4),_xlpm.feriados,IF($H220="CO",FER_CO,FER_EC),_xlpm.dias,IF(_xlpm.inicio&gt;_xlpm.fin,0,NETWORKDAYS(_xlpm.inicio,_xlpm.fin,_xlpm.feriados)),_xlpm.factor,IF($G220="Probable",IF(Parametros!$B$6="Sí",1,0),1),IF(OR($A220="",$D220="",$E220=""),0,_xlpm.dias*$I220*_xlpm.factor))</f>
        <v/>
      </c>
      <c r="M220" s="33">
        <f>_xlfn.LET(_xlpm.inicio,MAX($D220,M$3),_xlpm.fin,MIN($E220,M$4),_xlpm.feriados,IF($H220="CO",FER_CO,FER_EC),_xlpm.dias,IF(_xlpm.inicio&gt;_xlpm.fin,0,NETWORKDAYS(_xlpm.inicio,_xlpm.fin,_xlpm.feriados)),_xlpm.factor,IF($G220="Probable",IF(Parametros!$B$6="Sí",1,0),1),IF(OR($A220="",$D220="",$E220=""),0,_xlpm.dias*$I220*_xlpm.factor))</f>
        <v/>
      </c>
      <c r="N220" s="33">
        <f>_xlfn.LET(_xlpm.inicio,MAX($D220,N$3),_xlpm.fin,MIN($E220,N$4),_xlpm.feriados,IF($H220="CO",FER_CO,FER_EC),_xlpm.dias,IF(_xlpm.inicio&gt;_xlpm.fin,0,NETWORKDAYS(_xlpm.inicio,_xlpm.fin,_xlpm.feriados)),_xlpm.factor,IF($G220="Probable",IF(Parametros!$B$6="Sí",1,0),1),IF(OR($A220="",$D220="",$E220=""),0,_xlpm.dias*$I220*_xlpm.factor))</f>
        <v/>
      </c>
      <c r="O220" s="33">
        <f>_xlfn.LET(_xlpm.inicio,MAX($D220,O$3),_xlpm.fin,MIN($E220,O$4),_xlpm.feriados,IF($H220="CO",FER_CO,FER_EC),_xlpm.dias,IF(_xlpm.inicio&gt;_xlpm.fin,0,NETWORKDAYS(_xlpm.inicio,_xlpm.fin,_xlpm.feriados)),_xlpm.factor,IF($G220="Probable",IF(Parametros!$B$6="Sí",1,0),1),IF(OR($A220="",$D220="",$E220=""),0,_xlpm.dias*$I220*_xlpm.factor))</f>
        <v/>
      </c>
      <c r="P220" s="34">
        <f>_xlfn.LET(_xlpm.horas,J220,_xlpm.feriados,IF($H220="CO",FER_CO,FER_EC),_xlpm.capacidad,NETWORKDAYS(J$3,J$4,_xlpm.feriados)*INDEX(Consultores!$C$6:$C$65,MATCH($A220,Consultores!$A$6:$A$65,0)),IF(_xlpm.horas=0,"",IFERROR(_xlpm.horas/_xlpm.capacidad,"")))</f>
        <v/>
      </c>
      <c r="Q220" s="34">
        <f>_xlfn.LET(_xlpm.horas,K220,_xlpm.feriados,IF($H220="CO",FER_CO,FER_EC),_xlpm.capacidad,NETWORKDAYS(K$3,K$4,_xlpm.feriados)*INDEX(Consultores!$C$6:$C$65,MATCH($A220,Consultores!$A$6:$A$65,0)),IF(_xlpm.horas=0,"",IFERROR(_xlpm.horas/_xlpm.capacidad,"")))</f>
        <v/>
      </c>
      <c r="R220" s="34">
        <f>_xlfn.LET(_xlpm.horas,L220,_xlpm.feriados,IF($H220="CO",FER_CO,FER_EC),_xlpm.capacidad,NETWORKDAYS(L$3,L$4,_xlpm.feriados)*INDEX(Consultores!$C$6:$C$65,MATCH($A220,Consultores!$A$6:$A$65,0)),IF(_xlpm.horas=0,"",IFERROR(_xlpm.horas/_xlpm.capacidad,"")))</f>
        <v/>
      </c>
      <c r="S220" s="34">
        <f>_xlfn.LET(_xlpm.horas,M220,_xlpm.feriados,IF($H220="CO",FER_CO,FER_EC),_xlpm.capacidad,NETWORKDAYS(M$3,M$4,_xlpm.feriados)*INDEX(Consultores!$C$6:$C$65,MATCH($A220,Consultores!$A$6:$A$65,0)),IF(_xlpm.horas=0,"",IFERROR(_xlpm.horas/_xlpm.capacidad,"")))</f>
        <v/>
      </c>
      <c r="T220" s="34">
        <f>_xlfn.LET(_xlpm.horas,N220,_xlpm.feriados,IF($H220="CO",FER_CO,FER_EC),_xlpm.capacidad,NETWORKDAYS(N$3,N$4,_xlpm.feriados)*INDEX(Consultores!$C$6:$C$65,MATCH($A220,Consultores!$A$6:$A$65,0)),IF(_xlpm.horas=0,"",IFERROR(_xlpm.horas/_xlpm.capacidad,"")))</f>
        <v/>
      </c>
      <c r="U220" s="34">
        <f>_xlfn.LET(_xlpm.horas,O220,_xlpm.feriados,IF($H220="CO",FER_CO,FER_EC),_xlpm.capacidad,NETWORKDAYS(O$3,O$4,_xlpm.feriados)*INDEX(Consultores!$C$6:$C$65,MATCH($A220,Consultores!$A$6:$A$65,0)),IF(_xlpm.horas=0,"",IFERROR(_xlpm.horas/_xlpm.capacidad,"")))</f>
        <v/>
      </c>
    </row>
    <row r="221">
      <c r="A221" s="25" t="n"/>
      <c r="B221" s="25" t="n"/>
      <c r="C221" s="25" t="n"/>
      <c r="D221" s="30" t="n"/>
      <c r="E221" s="30" t="n"/>
      <c r="F221" s="26" t="n"/>
      <c r="G221" s="25" t="n"/>
      <c r="H221" s="31">
        <f>IF($A221="","",IFERROR(INDEX(Consultores!$B$6:$B$65,MATCH($A221,Consultores!$A$6:$A$65,0)),"No existe"))</f>
        <v/>
      </c>
      <c r="I221" s="32">
        <f>IF($F221="",0,$F221/5)</f>
        <v/>
      </c>
      <c r="J221" s="33">
        <f>_xlfn.LET(_xlpm.inicio,MAX($D221,J$3),_xlpm.fin,MIN($E221,J$4),_xlpm.feriados,IF($H221="CO",FER_CO,FER_EC),_xlpm.dias,IF(_xlpm.inicio&gt;_xlpm.fin,0,NETWORKDAYS(_xlpm.inicio,_xlpm.fin,_xlpm.feriados)),_xlpm.factor,IF($G221="Probable",IF(Parametros!$B$6="Sí",1,0),1),IF(OR($A221="",$D221="",$E221=""),0,_xlpm.dias*$I221*_xlpm.factor))</f>
        <v/>
      </c>
      <c r="K221" s="33">
        <f>_xlfn.LET(_xlpm.inicio,MAX($D221,K$3),_xlpm.fin,MIN($E221,K$4),_xlpm.feriados,IF($H221="CO",FER_CO,FER_EC),_xlpm.dias,IF(_xlpm.inicio&gt;_xlpm.fin,0,NETWORKDAYS(_xlpm.inicio,_xlpm.fin,_xlpm.feriados)),_xlpm.factor,IF($G221="Probable",IF(Parametros!$B$6="Sí",1,0),1),IF(OR($A221="",$D221="",$E221=""),0,_xlpm.dias*$I221*_xlpm.factor))</f>
        <v/>
      </c>
      <c r="L221" s="33">
        <f>_xlfn.LET(_xlpm.inicio,MAX($D221,L$3),_xlpm.fin,MIN($E221,L$4),_xlpm.feriados,IF($H221="CO",FER_CO,FER_EC),_xlpm.dias,IF(_xlpm.inicio&gt;_xlpm.fin,0,NETWORKDAYS(_xlpm.inicio,_xlpm.fin,_xlpm.feriados)),_xlpm.factor,IF($G221="Probable",IF(Parametros!$B$6="Sí",1,0),1),IF(OR($A221="",$D221="",$E221=""),0,_xlpm.dias*$I221*_xlpm.factor))</f>
        <v/>
      </c>
      <c r="M221" s="33">
        <f>_xlfn.LET(_xlpm.inicio,MAX($D221,M$3),_xlpm.fin,MIN($E221,M$4),_xlpm.feriados,IF($H221="CO",FER_CO,FER_EC),_xlpm.dias,IF(_xlpm.inicio&gt;_xlpm.fin,0,NETWORKDAYS(_xlpm.inicio,_xlpm.fin,_xlpm.feriados)),_xlpm.factor,IF($G221="Probable",IF(Parametros!$B$6="Sí",1,0),1),IF(OR($A221="",$D221="",$E221=""),0,_xlpm.dias*$I221*_xlpm.factor))</f>
        <v/>
      </c>
      <c r="N221" s="33">
        <f>_xlfn.LET(_xlpm.inicio,MAX($D221,N$3),_xlpm.fin,MIN($E221,N$4),_xlpm.feriados,IF($H221="CO",FER_CO,FER_EC),_xlpm.dias,IF(_xlpm.inicio&gt;_xlpm.fin,0,NETWORKDAYS(_xlpm.inicio,_xlpm.fin,_xlpm.feriados)),_xlpm.factor,IF($G221="Probable",IF(Parametros!$B$6="Sí",1,0),1),IF(OR($A221="",$D221="",$E221=""),0,_xlpm.dias*$I221*_xlpm.factor))</f>
        <v/>
      </c>
      <c r="O221" s="33">
        <f>_xlfn.LET(_xlpm.inicio,MAX($D221,O$3),_xlpm.fin,MIN($E221,O$4),_xlpm.feriados,IF($H221="CO",FER_CO,FER_EC),_xlpm.dias,IF(_xlpm.inicio&gt;_xlpm.fin,0,NETWORKDAYS(_xlpm.inicio,_xlpm.fin,_xlpm.feriados)),_xlpm.factor,IF($G221="Probable",IF(Parametros!$B$6="Sí",1,0),1),IF(OR($A221="",$D221="",$E221=""),0,_xlpm.dias*$I221*_xlpm.factor))</f>
        <v/>
      </c>
      <c r="P221" s="34">
        <f>_xlfn.LET(_xlpm.horas,J221,_xlpm.feriados,IF($H221="CO",FER_CO,FER_EC),_xlpm.capacidad,NETWORKDAYS(J$3,J$4,_xlpm.feriados)*INDEX(Consultores!$C$6:$C$65,MATCH($A221,Consultores!$A$6:$A$65,0)),IF(_xlpm.horas=0,"",IFERROR(_xlpm.horas/_xlpm.capacidad,"")))</f>
        <v/>
      </c>
      <c r="Q221" s="34">
        <f>_xlfn.LET(_xlpm.horas,K221,_xlpm.feriados,IF($H221="CO",FER_CO,FER_EC),_xlpm.capacidad,NETWORKDAYS(K$3,K$4,_xlpm.feriados)*INDEX(Consultores!$C$6:$C$65,MATCH($A221,Consultores!$A$6:$A$65,0)),IF(_xlpm.horas=0,"",IFERROR(_xlpm.horas/_xlpm.capacidad,"")))</f>
        <v/>
      </c>
      <c r="R221" s="34">
        <f>_xlfn.LET(_xlpm.horas,L221,_xlpm.feriados,IF($H221="CO",FER_CO,FER_EC),_xlpm.capacidad,NETWORKDAYS(L$3,L$4,_xlpm.feriados)*INDEX(Consultores!$C$6:$C$65,MATCH($A221,Consultores!$A$6:$A$65,0)),IF(_xlpm.horas=0,"",IFERROR(_xlpm.horas/_xlpm.capacidad,"")))</f>
        <v/>
      </c>
      <c r="S221" s="34">
        <f>_xlfn.LET(_xlpm.horas,M221,_xlpm.feriados,IF($H221="CO",FER_CO,FER_EC),_xlpm.capacidad,NETWORKDAYS(M$3,M$4,_xlpm.feriados)*INDEX(Consultores!$C$6:$C$65,MATCH($A221,Consultores!$A$6:$A$65,0)),IF(_xlpm.horas=0,"",IFERROR(_xlpm.horas/_xlpm.capacidad,"")))</f>
        <v/>
      </c>
      <c r="T221" s="34">
        <f>_xlfn.LET(_xlpm.horas,N221,_xlpm.feriados,IF($H221="CO",FER_CO,FER_EC),_xlpm.capacidad,NETWORKDAYS(N$3,N$4,_xlpm.feriados)*INDEX(Consultores!$C$6:$C$65,MATCH($A221,Consultores!$A$6:$A$65,0)),IF(_xlpm.horas=0,"",IFERROR(_xlpm.horas/_xlpm.capacidad,"")))</f>
        <v/>
      </c>
      <c r="U221" s="34">
        <f>_xlfn.LET(_xlpm.horas,O221,_xlpm.feriados,IF($H221="CO",FER_CO,FER_EC),_xlpm.capacidad,NETWORKDAYS(O$3,O$4,_xlpm.feriados)*INDEX(Consultores!$C$6:$C$65,MATCH($A221,Consultores!$A$6:$A$65,0)),IF(_xlpm.horas=0,"",IFERROR(_xlpm.horas/_xlpm.capacidad,"")))</f>
        <v/>
      </c>
    </row>
    <row r="222">
      <c r="A222" s="25" t="n"/>
      <c r="B222" s="25" t="n"/>
      <c r="C222" s="25" t="n"/>
      <c r="D222" s="30" t="n"/>
      <c r="E222" s="30" t="n"/>
      <c r="F222" s="26" t="n"/>
      <c r="G222" s="25" t="n"/>
      <c r="H222" s="31">
        <f>IF($A222="","",IFERROR(INDEX(Consultores!$B$6:$B$65,MATCH($A222,Consultores!$A$6:$A$65,0)),"No existe"))</f>
        <v/>
      </c>
      <c r="I222" s="32">
        <f>IF($F222="",0,$F222/5)</f>
        <v/>
      </c>
      <c r="J222" s="33">
        <f>_xlfn.LET(_xlpm.inicio,MAX($D222,J$3),_xlpm.fin,MIN($E222,J$4),_xlpm.feriados,IF($H222="CO",FER_CO,FER_EC),_xlpm.dias,IF(_xlpm.inicio&gt;_xlpm.fin,0,NETWORKDAYS(_xlpm.inicio,_xlpm.fin,_xlpm.feriados)),_xlpm.factor,IF($G222="Probable",IF(Parametros!$B$6="Sí",1,0),1),IF(OR($A222="",$D222="",$E222=""),0,_xlpm.dias*$I222*_xlpm.factor))</f>
        <v/>
      </c>
      <c r="K222" s="33">
        <f>_xlfn.LET(_xlpm.inicio,MAX($D222,K$3),_xlpm.fin,MIN($E222,K$4),_xlpm.feriados,IF($H222="CO",FER_CO,FER_EC),_xlpm.dias,IF(_xlpm.inicio&gt;_xlpm.fin,0,NETWORKDAYS(_xlpm.inicio,_xlpm.fin,_xlpm.feriados)),_xlpm.factor,IF($G222="Probable",IF(Parametros!$B$6="Sí",1,0),1),IF(OR($A222="",$D222="",$E222=""),0,_xlpm.dias*$I222*_xlpm.factor))</f>
        <v/>
      </c>
      <c r="L222" s="33">
        <f>_xlfn.LET(_xlpm.inicio,MAX($D222,L$3),_xlpm.fin,MIN($E222,L$4),_xlpm.feriados,IF($H222="CO",FER_CO,FER_EC),_xlpm.dias,IF(_xlpm.inicio&gt;_xlpm.fin,0,NETWORKDAYS(_xlpm.inicio,_xlpm.fin,_xlpm.feriados)),_xlpm.factor,IF($G222="Probable",IF(Parametros!$B$6="Sí",1,0),1),IF(OR($A222="",$D222="",$E222=""),0,_xlpm.dias*$I222*_xlpm.factor))</f>
        <v/>
      </c>
      <c r="M222" s="33">
        <f>_xlfn.LET(_xlpm.inicio,MAX($D222,M$3),_xlpm.fin,MIN($E222,M$4),_xlpm.feriados,IF($H222="CO",FER_CO,FER_EC),_xlpm.dias,IF(_xlpm.inicio&gt;_xlpm.fin,0,NETWORKDAYS(_xlpm.inicio,_xlpm.fin,_xlpm.feriados)),_xlpm.factor,IF($G222="Probable",IF(Parametros!$B$6="Sí",1,0),1),IF(OR($A222="",$D222="",$E222=""),0,_xlpm.dias*$I222*_xlpm.factor))</f>
        <v/>
      </c>
      <c r="N222" s="33">
        <f>_xlfn.LET(_xlpm.inicio,MAX($D222,N$3),_xlpm.fin,MIN($E222,N$4),_xlpm.feriados,IF($H222="CO",FER_CO,FER_EC),_xlpm.dias,IF(_xlpm.inicio&gt;_xlpm.fin,0,NETWORKDAYS(_xlpm.inicio,_xlpm.fin,_xlpm.feriados)),_xlpm.factor,IF($G222="Probable",IF(Parametros!$B$6="Sí",1,0),1),IF(OR($A222="",$D222="",$E222=""),0,_xlpm.dias*$I222*_xlpm.factor))</f>
        <v/>
      </c>
      <c r="O222" s="33">
        <f>_xlfn.LET(_xlpm.inicio,MAX($D222,O$3),_xlpm.fin,MIN($E222,O$4),_xlpm.feriados,IF($H222="CO",FER_CO,FER_EC),_xlpm.dias,IF(_xlpm.inicio&gt;_xlpm.fin,0,NETWORKDAYS(_xlpm.inicio,_xlpm.fin,_xlpm.feriados)),_xlpm.factor,IF($G222="Probable",IF(Parametros!$B$6="Sí",1,0),1),IF(OR($A222="",$D222="",$E222=""),0,_xlpm.dias*$I222*_xlpm.factor))</f>
        <v/>
      </c>
      <c r="P222" s="34">
        <f>_xlfn.LET(_xlpm.horas,J222,_xlpm.feriados,IF($H222="CO",FER_CO,FER_EC),_xlpm.capacidad,NETWORKDAYS(J$3,J$4,_xlpm.feriados)*INDEX(Consultores!$C$6:$C$65,MATCH($A222,Consultores!$A$6:$A$65,0)),IF(_xlpm.horas=0,"",IFERROR(_xlpm.horas/_xlpm.capacidad,"")))</f>
        <v/>
      </c>
      <c r="Q222" s="34">
        <f>_xlfn.LET(_xlpm.horas,K222,_xlpm.feriados,IF($H222="CO",FER_CO,FER_EC),_xlpm.capacidad,NETWORKDAYS(K$3,K$4,_xlpm.feriados)*INDEX(Consultores!$C$6:$C$65,MATCH($A222,Consultores!$A$6:$A$65,0)),IF(_xlpm.horas=0,"",IFERROR(_xlpm.horas/_xlpm.capacidad,"")))</f>
        <v/>
      </c>
      <c r="R222" s="34">
        <f>_xlfn.LET(_xlpm.horas,L222,_xlpm.feriados,IF($H222="CO",FER_CO,FER_EC),_xlpm.capacidad,NETWORKDAYS(L$3,L$4,_xlpm.feriados)*INDEX(Consultores!$C$6:$C$65,MATCH($A222,Consultores!$A$6:$A$65,0)),IF(_xlpm.horas=0,"",IFERROR(_xlpm.horas/_xlpm.capacidad,"")))</f>
        <v/>
      </c>
      <c r="S222" s="34">
        <f>_xlfn.LET(_xlpm.horas,M222,_xlpm.feriados,IF($H222="CO",FER_CO,FER_EC),_xlpm.capacidad,NETWORKDAYS(M$3,M$4,_xlpm.feriados)*INDEX(Consultores!$C$6:$C$65,MATCH($A222,Consultores!$A$6:$A$65,0)),IF(_xlpm.horas=0,"",IFERROR(_xlpm.horas/_xlpm.capacidad,"")))</f>
        <v/>
      </c>
      <c r="T222" s="34">
        <f>_xlfn.LET(_xlpm.horas,N222,_xlpm.feriados,IF($H222="CO",FER_CO,FER_EC),_xlpm.capacidad,NETWORKDAYS(N$3,N$4,_xlpm.feriados)*INDEX(Consultores!$C$6:$C$65,MATCH($A222,Consultores!$A$6:$A$65,0)),IF(_xlpm.horas=0,"",IFERROR(_xlpm.horas/_xlpm.capacidad,"")))</f>
        <v/>
      </c>
      <c r="U222" s="34">
        <f>_xlfn.LET(_xlpm.horas,O222,_xlpm.feriados,IF($H222="CO",FER_CO,FER_EC),_xlpm.capacidad,NETWORKDAYS(O$3,O$4,_xlpm.feriados)*INDEX(Consultores!$C$6:$C$65,MATCH($A222,Consultores!$A$6:$A$65,0)),IF(_xlpm.horas=0,"",IFERROR(_xlpm.horas/_xlpm.capacidad,"")))</f>
        <v/>
      </c>
    </row>
    <row r="223">
      <c r="A223" s="25" t="n"/>
      <c r="B223" s="25" t="n"/>
      <c r="C223" s="25" t="n"/>
      <c r="D223" s="30" t="n"/>
      <c r="E223" s="30" t="n"/>
      <c r="F223" s="26" t="n"/>
      <c r="G223" s="25" t="n"/>
      <c r="H223" s="31">
        <f>IF($A223="","",IFERROR(INDEX(Consultores!$B$6:$B$65,MATCH($A223,Consultores!$A$6:$A$65,0)),"No existe"))</f>
        <v/>
      </c>
      <c r="I223" s="32">
        <f>IF($F223="",0,$F223/5)</f>
        <v/>
      </c>
      <c r="J223" s="33">
        <f>_xlfn.LET(_xlpm.inicio,MAX($D223,J$3),_xlpm.fin,MIN($E223,J$4),_xlpm.feriados,IF($H223="CO",FER_CO,FER_EC),_xlpm.dias,IF(_xlpm.inicio&gt;_xlpm.fin,0,NETWORKDAYS(_xlpm.inicio,_xlpm.fin,_xlpm.feriados)),_xlpm.factor,IF($G223="Probable",IF(Parametros!$B$6="Sí",1,0),1),IF(OR($A223="",$D223="",$E223=""),0,_xlpm.dias*$I223*_xlpm.factor))</f>
        <v/>
      </c>
      <c r="K223" s="33">
        <f>_xlfn.LET(_xlpm.inicio,MAX($D223,K$3),_xlpm.fin,MIN($E223,K$4),_xlpm.feriados,IF($H223="CO",FER_CO,FER_EC),_xlpm.dias,IF(_xlpm.inicio&gt;_xlpm.fin,0,NETWORKDAYS(_xlpm.inicio,_xlpm.fin,_xlpm.feriados)),_xlpm.factor,IF($G223="Probable",IF(Parametros!$B$6="Sí",1,0),1),IF(OR($A223="",$D223="",$E223=""),0,_xlpm.dias*$I223*_xlpm.factor))</f>
        <v/>
      </c>
      <c r="L223" s="33">
        <f>_xlfn.LET(_xlpm.inicio,MAX($D223,L$3),_xlpm.fin,MIN($E223,L$4),_xlpm.feriados,IF($H223="CO",FER_CO,FER_EC),_xlpm.dias,IF(_xlpm.inicio&gt;_xlpm.fin,0,NETWORKDAYS(_xlpm.inicio,_xlpm.fin,_xlpm.feriados)),_xlpm.factor,IF($G223="Probable",IF(Parametros!$B$6="Sí",1,0),1),IF(OR($A223="",$D223="",$E223=""),0,_xlpm.dias*$I223*_xlpm.factor))</f>
        <v/>
      </c>
      <c r="M223" s="33">
        <f>_xlfn.LET(_xlpm.inicio,MAX($D223,M$3),_xlpm.fin,MIN($E223,M$4),_xlpm.feriados,IF($H223="CO",FER_CO,FER_EC),_xlpm.dias,IF(_xlpm.inicio&gt;_xlpm.fin,0,NETWORKDAYS(_xlpm.inicio,_xlpm.fin,_xlpm.feriados)),_xlpm.factor,IF($G223="Probable",IF(Parametros!$B$6="Sí",1,0),1),IF(OR($A223="",$D223="",$E223=""),0,_xlpm.dias*$I223*_xlpm.factor))</f>
        <v/>
      </c>
      <c r="N223" s="33">
        <f>_xlfn.LET(_xlpm.inicio,MAX($D223,N$3),_xlpm.fin,MIN($E223,N$4),_xlpm.feriados,IF($H223="CO",FER_CO,FER_EC),_xlpm.dias,IF(_xlpm.inicio&gt;_xlpm.fin,0,NETWORKDAYS(_xlpm.inicio,_xlpm.fin,_xlpm.feriados)),_xlpm.factor,IF($G223="Probable",IF(Parametros!$B$6="Sí",1,0),1),IF(OR($A223="",$D223="",$E223=""),0,_xlpm.dias*$I223*_xlpm.factor))</f>
        <v/>
      </c>
      <c r="O223" s="33">
        <f>_xlfn.LET(_xlpm.inicio,MAX($D223,O$3),_xlpm.fin,MIN($E223,O$4),_xlpm.feriados,IF($H223="CO",FER_CO,FER_EC),_xlpm.dias,IF(_xlpm.inicio&gt;_xlpm.fin,0,NETWORKDAYS(_xlpm.inicio,_xlpm.fin,_xlpm.feriados)),_xlpm.factor,IF($G223="Probable",IF(Parametros!$B$6="Sí",1,0),1),IF(OR($A223="",$D223="",$E223=""),0,_xlpm.dias*$I223*_xlpm.factor))</f>
        <v/>
      </c>
      <c r="P223" s="34">
        <f>_xlfn.LET(_xlpm.horas,J223,_xlpm.feriados,IF($H223="CO",FER_CO,FER_EC),_xlpm.capacidad,NETWORKDAYS(J$3,J$4,_xlpm.feriados)*INDEX(Consultores!$C$6:$C$65,MATCH($A223,Consultores!$A$6:$A$65,0)),IF(_xlpm.horas=0,"",IFERROR(_xlpm.horas/_xlpm.capacidad,"")))</f>
        <v/>
      </c>
      <c r="Q223" s="34">
        <f>_xlfn.LET(_xlpm.horas,K223,_xlpm.feriados,IF($H223="CO",FER_CO,FER_EC),_xlpm.capacidad,NETWORKDAYS(K$3,K$4,_xlpm.feriados)*INDEX(Consultores!$C$6:$C$65,MATCH($A223,Consultores!$A$6:$A$65,0)),IF(_xlpm.horas=0,"",IFERROR(_xlpm.horas/_xlpm.capacidad,"")))</f>
        <v/>
      </c>
      <c r="R223" s="34">
        <f>_xlfn.LET(_xlpm.horas,L223,_xlpm.feriados,IF($H223="CO",FER_CO,FER_EC),_xlpm.capacidad,NETWORKDAYS(L$3,L$4,_xlpm.feriados)*INDEX(Consultores!$C$6:$C$65,MATCH($A223,Consultores!$A$6:$A$65,0)),IF(_xlpm.horas=0,"",IFERROR(_xlpm.horas/_xlpm.capacidad,"")))</f>
        <v/>
      </c>
      <c r="S223" s="34">
        <f>_xlfn.LET(_xlpm.horas,M223,_xlpm.feriados,IF($H223="CO",FER_CO,FER_EC),_xlpm.capacidad,NETWORKDAYS(M$3,M$4,_xlpm.feriados)*INDEX(Consultores!$C$6:$C$65,MATCH($A223,Consultores!$A$6:$A$65,0)),IF(_xlpm.horas=0,"",IFERROR(_xlpm.horas/_xlpm.capacidad,"")))</f>
        <v/>
      </c>
      <c r="T223" s="34">
        <f>_xlfn.LET(_xlpm.horas,N223,_xlpm.feriados,IF($H223="CO",FER_CO,FER_EC),_xlpm.capacidad,NETWORKDAYS(N$3,N$4,_xlpm.feriados)*INDEX(Consultores!$C$6:$C$65,MATCH($A223,Consultores!$A$6:$A$65,0)),IF(_xlpm.horas=0,"",IFERROR(_xlpm.horas/_xlpm.capacidad,"")))</f>
        <v/>
      </c>
      <c r="U223" s="34">
        <f>_xlfn.LET(_xlpm.horas,O223,_xlpm.feriados,IF($H223="CO",FER_CO,FER_EC),_xlpm.capacidad,NETWORKDAYS(O$3,O$4,_xlpm.feriados)*INDEX(Consultores!$C$6:$C$65,MATCH($A223,Consultores!$A$6:$A$65,0)),IF(_xlpm.horas=0,"",IFERROR(_xlpm.horas/_xlpm.capacidad,"")))</f>
        <v/>
      </c>
    </row>
    <row r="224">
      <c r="A224" s="25" t="n"/>
      <c r="B224" s="25" t="n"/>
      <c r="C224" s="25" t="n"/>
      <c r="D224" s="30" t="n"/>
      <c r="E224" s="30" t="n"/>
      <c r="F224" s="26" t="n"/>
      <c r="G224" s="25" t="n"/>
      <c r="H224" s="31">
        <f>IF($A224="","",IFERROR(INDEX(Consultores!$B$6:$B$65,MATCH($A224,Consultores!$A$6:$A$65,0)),"No existe"))</f>
        <v/>
      </c>
      <c r="I224" s="32">
        <f>IF($F224="",0,$F224/5)</f>
        <v/>
      </c>
      <c r="J224" s="33">
        <f>_xlfn.LET(_xlpm.inicio,MAX($D224,J$3),_xlpm.fin,MIN($E224,J$4),_xlpm.feriados,IF($H224="CO",FER_CO,FER_EC),_xlpm.dias,IF(_xlpm.inicio&gt;_xlpm.fin,0,NETWORKDAYS(_xlpm.inicio,_xlpm.fin,_xlpm.feriados)),_xlpm.factor,IF($G224="Probable",IF(Parametros!$B$6="Sí",1,0),1),IF(OR($A224="",$D224="",$E224=""),0,_xlpm.dias*$I224*_xlpm.factor))</f>
        <v/>
      </c>
      <c r="K224" s="33">
        <f>_xlfn.LET(_xlpm.inicio,MAX($D224,K$3),_xlpm.fin,MIN($E224,K$4),_xlpm.feriados,IF($H224="CO",FER_CO,FER_EC),_xlpm.dias,IF(_xlpm.inicio&gt;_xlpm.fin,0,NETWORKDAYS(_xlpm.inicio,_xlpm.fin,_xlpm.feriados)),_xlpm.factor,IF($G224="Probable",IF(Parametros!$B$6="Sí",1,0),1),IF(OR($A224="",$D224="",$E224=""),0,_xlpm.dias*$I224*_xlpm.factor))</f>
        <v/>
      </c>
      <c r="L224" s="33">
        <f>_xlfn.LET(_xlpm.inicio,MAX($D224,L$3),_xlpm.fin,MIN($E224,L$4),_xlpm.feriados,IF($H224="CO",FER_CO,FER_EC),_xlpm.dias,IF(_xlpm.inicio&gt;_xlpm.fin,0,NETWORKDAYS(_xlpm.inicio,_xlpm.fin,_xlpm.feriados)),_xlpm.factor,IF($G224="Probable",IF(Parametros!$B$6="Sí",1,0),1),IF(OR($A224="",$D224="",$E224=""),0,_xlpm.dias*$I224*_xlpm.factor))</f>
        <v/>
      </c>
      <c r="M224" s="33">
        <f>_xlfn.LET(_xlpm.inicio,MAX($D224,M$3),_xlpm.fin,MIN($E224,M$4),_xlpm.feriados,IF($H224="CO",FER_CO,FER_EC),_xlpm.dias,IF(_xlpm.inicio&gt;_xlpm.fin,0,NETWORKDAYS(_xlpm.inicio,_xlpm.fin,_xlpm.feriados)),_xlpm.factor,IF($G224="Probable",IF(Parametros!$B$6="Sí",1,0),1),IF(OR($A224="",$D224="",$E224=""),0,_xlpm.dias*$I224*_xlpm.factor))</f>
        <v/>
      </c>
      <c r="N224" s="33">
        <f>_xlfn.LET(_xlpm.inicio,MAX($D224,N$3),_xlpm.fin,MIN($E224,N$4),_xlpm.feriados,IF($H224="CO",FER_CO,FER_EC),_xlpm.dias,IF(_xlpm.inicio&gt;_xlpm.fin,0,NETWORKDAYS(_xlpm.inicio,_xlpm.fin,_xlpm.feriados)),_xlpm.factor,IF($G224="Probable",IF(Parametros!$B$6="Sí",1,0),1),IF(OR($A224="",$D224="",$E224=""),0,_xlpm.dias*$I224*_xlpm.factor))</f>
        <v/>
      </c>
      <c r="O224" s="33">
        <f>_xlfn.LET(_xlpm.inicio,MAX($D224,O$3),_xlpm.fin,MIN($E224,O$4),_xlpm.feriados,IF($H224="CO",FER_CO,FER_EC),_xlpm.dias,IF(_xlpm.inicio&gt;_xlpm.fin,0,NETWORKDAYS(_xlpm.inicio,_xlpm.fin,_xlpm.feriados)),_xlpm.factor,IF($G224="Probable",IF(Parametros!$B$6="Sí",1,0),1),IF(OR($A224="",$D224="",$E224=""),0,_xlpm.dias*$I224*_xlpm.factor))</f>
        <v/>
      </c>
      <c r="P224" s="34">
        <f>_xlfn.LET(_xlpm.horas,J224,_xlpm.feriados,IF($H224="CO",FER_CO,FER_EC),_xlpm.capacidad,NETWORKDAYS(J$3,J$4,_xlpm.feriados)*INDEX(Consultores!$C$6:$C$65,MATCH($A224,Consultores!$A$6:$A$65,0)),IF(_xlpm.horas=0,"",IFERROR(_xlpm.horas/_xlpm.capacidad,"")))</f>
        <v/>
      </c>
      <c r="Q224" s="34">
        <f>_xlfn.LET(_xlpm.horas,K224,_xlpm.feriados,IF($H224="CO",FER_CO,FER_EC),_xlpm.capacidad,NETWORKDAYS(K$3,K$4,_xlpm.feriados)*INDEX(Consultores!$C$6:$C$65,MATCH($A224,Consultores!$A$6:$A$65,0)),IF(_xlpm.horas=0,"",IFERROR(_xlpm.horas/_xlpm.capacidad,"")))</f>
        <v/>
      </c>
      <c r="R224" s="34">
        <f>_xlfn.LET(_xlpm.horas,L224,_xlpm.feriados,IF($H224="CO",FER_CO,FER_EC),_xlpm.capacidad,NETWORKDAYS(L$3,L$4,_xlpm.feriados)*INDEX(Consultores!$C$6:$C$65,MATCH($A224,Consultores!$A$6:$A$65,0)),IF(_xlpm.horas=0,"",IFERROR(_xlpm.horas/_xlpm.capacidad,"")))</f>
        <v/>
      </c>
      <c r="S224" s="34">
        <f>_xlfn.LET(_xlpm.horas,M224,_xlpm.feriados,IF($H224="CO",FER_CO,FER_EC),_xlpm.capacidad,NETWORKDAYS(M$3,M$4,_xlpm.feriados)*INDEX(Consultores!$C$6:$C$65,MATCH($A224,Consultores!$A$6:$A$65,0)),IF(_xlpm.horas=0,"",IFERROR(_xlpm.horas/_xlpm.capacidad,"")))</f>
        <v/>
      </c>
      <c r="T224" s="34">
        <f>_xlfn.LET(_xlpm.horas,N224,_xlpm.feriados,IF($H224="CO",FER_CO,FER_EC),_xlpm.capacidad,NETWORKDAYS(N$3,N$4,_xlpm.feriados)*INDEX(Consultores!$C$6:$C$65,MATCH($A224,Consultores!$A$6:$A$65,0)),IF(_xlpm.horas=0,"",IFERROR(_xlpm.horas/_xlpm.capacidad,"")))</f>
        <v/>
      </c>
      <c r="U224" s="34">
        <f>_xlfn.LET(_xlpm.horas,O224,_xlpm.feriados,IF($H224="CO",FER_CO,FER_EC),_xlpm.capacidad,NETWORKDAYS(O$3,O$4,_xlpm.feriados)*INDEX(Consultores!$C$6:$C$65,MATCH($A224,Consultores!$A$6:$A$65,0)),IF(_xlpm.horas=0,"",IFERROR(_xlpm.horas/_xlpm.capacidad,"")))</f>
        <v/>
      </c>
    </row>
    <row r="225">
      <c r="A225" s="25" t="n"/>
      <c r="B225" s="25" t="n"/>
      <c r="C225" s="25" t="n"/>
      <c r="D225" s="30" t="n"/>
      <c r="E225" s="30" t="n"/>
      <c r="F225" s="26" t="n"/>
      <c r="G225" s="25" t="n"/>
      <c r="H225" s="31">
        <f>IF($A225="","",IFERROR(INDEX(Consultores!$B$6:$B$65,MATCH($A225,Consultores!$A$6:$A$65,0)),"No existe"))</f>
        <v/>
      </c>
      <c r="I225" s="32">
        <f>IF($F225="",0,$F225/5)</f>
        <v/>
      </c>
      <c r="J225" s="33">
        <f>_xlfn.LET(_xlpm.inicio,MAX($D225,J$3),_xlpm.fin,MIN($E225,J$4),_xlpm.feriados,IF($H225="CO",FER_CO,FER_EC),_xlpm.dias,IF(_xlpm.inicio&gt;_xlpm.fin,0,NETWORKDAYS(_xlpm.inicio,_xlpm.fin,_xlpm.feriados)),_xlpm.factor,IF($G225="Probable",IF(Parametros!$B$6="Sí",1,0),1),IF(OR($A225="",$D225="",$E225=""),0,_xlpm.dias*$I225*_xlpm.factor))</f>
        <v/>
      </c>
      <c r="K225" s="33">
        <f>_xlfn.LET(_xlpm.inicio,MAX($D225,K$3),_xlpm.fin,MIN($E225,K$4),_xlpm.feriados,IF($H225="CO",FER_CO,FER_EC),_xlpm.dias,IF(_xlpm.inicio&gt;_xlpm.fin,0,NETWORKDAYS(_xlpm.inicio,_xlpm.fin,_xlpm.feriados)),_xlpm.factor,IF($G225="Probable",IF(Parametros!$B$6="Sí",1,0),1),IF(OR($A225="",$D225="",$E225=""),0,_xlpm.dias*$I225*_xlpm.factor))</f>
        <v/>
      </c>
      <c r="L225" s="33">
        <f>_xlfn.LET(_xlpm.inicio,MAX($D225,L$3),_xlpm.fin,MIN($E225,L$4),_xlpm.feriados,IF($H225="CO",FER_CO,FER_EC),_xlpm.dias,IF(_xlpm.inicio&gt;_xlpm.fin,0,NETWORKDAYS(_xlpm.inicio,_xlpm.fin,_xlpm.feriados)),_xlpm.factor,IF($G225="Probable",IF(Parametros!$B$6="Sí",1,0),1),IF(OR($A225="",$D225="",$E225=""),0,_xlpm.dias*$I225*_xlpm.factor))</f>
        <v/>
      </c>
      <c r="M225" s="33">
        <f>_xlfn.LET(_xlpm.inicio,MAX($D225,M$3),_xlpm.fin,MIN($E225,M$4),_xlpm.feriados,IF($H225="CO",FER_CO,FER_EC),_xlpm.dias,IF(_xlpm.inicio&gt;_xlpm.fin,0,NETWORKDAYS(_xlpm.inicio,_xlpm.fin,_xlpm.feriados)),_xlpm.factor,IF($G225="Probable",IF(Parametros!$B$6="Sí",1,0),1),IF(OR($A225="",$D225="",$E225=""),0,_xlpm.dias*$I225*_xlpm.factor))</f>
        <v/>
      </c>
      <c r="N225" s="33">
        <f>_xlfn.LET(_xlpm.inicio,MAX($D225,N$3),_xlpm.fin,MIN($E225,N$4),_xlpm.feriados,IF($H225="CO",FER_CO,FER_EC),_xlpm.dias,IF(_xlpm.inicio&gt;_xlpm.fin,0,NETWORKDAYS(_xlpm.inicio,_xlpm.fin,_xlpm.feriados)),_xlpm.factor,IF($G225="Probable",IF(Parametros!$B$6="Sí",1,0),1),IF(OR($A225="",$D225="",$E225=""),0,_xlpm.dias*$I225*_xlpm.factor))</f>
        <v/>
      </c>
      <c r="O225" s="33">
        <f>_xlfn.LET(_xlpm.inicio,MAX($D225,O$3),_xlpm.fin,MIN($E225,O$4),_xlpm.feriados,IF($H225="CO",FER_CO,FER_EC),_xlpm.dias,IF(_xlpm.inicio&gt;_xlpm.fin,0,NETWORKDAYS(_xlpm.inicio,_xlpm.fin,_xlpm.feriados)),_xlpm.factor,IF($G225="Probable",IF(Parametros!$B$6="Sí",1,0),1),IF(OR($A225="",$D225="",$E225=""),0,_xlpm.dias*$I225*_xlpm.factor))</f>
        <v/>
      </c>
      <c r="P225" s="34">
        <f>_xlfn.LET(_xlpm.horas,J225,_xlpm.feriados,IF($H225="CO",FER_CO,FER_EC),_xlpm.capacidad,NETWORKDAYS(J$3,J$4,_xlpm.feriados)*INDEX(Consultores!$C$6:$C$65,MATCH($A225,Consultores!$A$6:$A$65,0)),IF(_xlpm.horas=0,"",IFERROR(_xlpm.horas/_xlpm.capacidad,"")))</f>
        <v/>
      </c>
      <c r="Q225" s="34">
        <f>_xlfn.LET(_xlpm.horas,K225,_xlpm.feriados,IF($H225="CO",FER_CO,FER_EC),_xlpm.capacidad,NETWORKDAYS(K$3,K$4,_xlpm.feriados)*INDEX(Consultores!$C$6:$C$65,MATCH($A225,Consultores!$A$6:$A$65,0)),IF(_xlpm.horas=0,"",IFERROR(_xlpm.horas/_xlpm.capacidad,"")))</f>
        <v/>
      </c>
      <c r="R225" s="34">
        <f>_xlfn.LET(_xlpm.horas,L225,_xlpm.feriados,IF($H225="CO",FER_CO,FER_EC),_xlpm.capacidad,NETWORKDAYS(L$3,L$4,_xlpm.feriados)*INDEX(Consultores!$C$6:$C$65,MATCH($A225,Consultores!$A$6:$A$65,0)),IF(_xlpm.horas=0,"",IFERROR(_xlpm.horas/_xlpm.capacidad,"")))</f>
        <v/>
      </c>
      <c r="S225" s="34">
        <f>_xlfn.LET(_xlpm.horas,M225,_xlpm.feriados,IF($H225="CO",FER_CO,FER_EC),_xlpm.capacidad,NETWORKDAYS(M$3,M$4,_xlpm.feriados)*INDEX(Consultores!$C$6:$C$65,MATCH($A225,Consultores!$A$6:$A$65,0)),IF(_xlpm.horas=0,"",IFERROR(_xlpm.horas/_xlpm.capacidad,"")))</f>
        <v/>
      </c>
      <c r="T225" s="34">
        <f>_xlfn.LET(_xlpm.horas,N225,_xlpm.feriados,IF($H225="CO",FER_CO,FER_EC),_xlpm.capacidad,NETWORKDAYS(N$3,N$4,_xlpm.feriados)*INDEX(Consultores!$C$6:$C$65,MATCH($A225,Consultores!$A$6:$A$65,0)),IF(_xlpm.horas=0,"",IFERROR(_xlpm.horas/_xlpm.capacidad,"")))</f>
        <v/>
      </c>
      <c r="U225" s="34">
        <f>_xlfn.LET(_xlpm.horas,O225,_xlpm.feriados,IF($H225="CO",FER_CO,FER_EC),_xlpm.capacidad,NETWORKDAYS(O$3,O$4,_xlpm.feriados)*INDEX(Consultores!$C$6:$C$65,MATCH($A225,Consultores!$A$6:$A$65,0)),IF(_xlpm.horas=0,"",IFERROR(_xlpm.horas/_xlpm.capacidad,"")))</f>
        <v/>
      </c>
    </row>
    <row r="226">
      <c r="A226" s="25" t="n"/>
      <c r="B226" s="25" t="n"/>
      <c r="C226" s="25" t="n"/>
      <c r="D226" s="30" t="n"/>
      <c r="E226" s="30" t="n"/>
      <c r="F226" s="26" t="n"/>
      <c r="G226" s="25" t="n"/>
      <c r="H226" s="31">
        <f>IF($A226="","",IFERROR(INDEX(Consultores!$B$6:$B$65,MATCH($A226,Consultores!$A$6:$A$65,0)),"No existe"))</f>
        <v/>
      </c>
      <c r="I226" s="32">
        <f>IF($F226="",0,$F226/5)</f>
        <v/>
      </c>
      <c r="J226" s="33">
        <f>_xlfn.LET(_xlpm.inicio,MAX($D226,J$3),_xlpm.fin,MIN($E226,J$4),_xlpm.feriados,IF($H226="CO",FER_CO,FER_EC),_xlpm.dias,IF(_xlpm.inicio&gt;_xlpm.fin,0,NETWORKDAYS(_xlpm.inicio,_xlpm.fin,_xlpm.feriados)),_xlpm.factor,IF($G226="Probable",IF(Parametros!$B$6="Sí",1,0),1),IF(OR($A226="",$D226="",$E226=""),0,_xlpm.dias*$I226*_xlpm.factor))</f>
        <v/>
      </c>
      <c r="K226" s="33">
        <f>_xlfn.LET(_xlpm.inicio,MAX($D226,K$3),_xlpm.fin,MIN($E226,K$4),_xlpm.feriados,IF($H226="CO",FER_CO,FER_EC),_xlpm.dias,IF(_xlpm.inicio&gt;_xlpm.fin,0,NETWORKDAYS(_xlpm.inicio,_xlpm.fin,_xlpm.feriados)),_xlpm.factor,IF($G226="Probable",IF(Parametros!$B$6="Sí",1,0),1),IF(OR($A226="",$D226="",$E226=""),0,_xlpm.dias*$I226*_xlpm.factor))</f>
        <v/>
      </c>
      <c r="L226" s="33">
        <f>_xlfn.LET(_xlpm.inicio,MAX($D226,L$3),_xlpm.fin,MIN($E226,L$4),_xlpm.feriados,IF($H226="CO",FER_CO,FER_EC),_xlpm.dias,IF(_xlpm.inicio&gt;_xlpm.fin,0,NETWORKDAYS(_xlpm.inicio,_xlpm.fin,_xlpm.feriados)),_xlpm.factor,IF($G226="Probable",IF(Parametros!$B$6="Sí",1,0),1),IF(OR($A226="",$D226="",$E226=""),0,_xlpm.dias*$I226*_xlpm.factor))</f>
        <v/>
      </c>
      <c r="M226" s="33">
        <f>_xlfn.LET(_xlpm.inicio,MAX($D226,M$3),_xlpm.fin,MIN($E226,M$4),_xlpm.feriados,IF($H226="CO",FER_CO,FER_EC),_xlpm.dias,IF(_xlpm.inicio&gt;_xlpm.fin,0,NETWORKDAYS(_xlpm.inicio,_xlpm.fin,_xlpm.feriados)),_xlpm.factor,IF($G226="Probable",IF(Parametros!$B$6="Sí",1,0),1),IF(OR($A226="",$D226="",$E226=""),0,_xlpm.dias*$I226*_xlpm.factor))</f>
        <v/>
      </c>
      <c r="N226" s="33">
        <f>_xlfn.LET(_xlpm.inicio,MAX($D226,N$3),_xlpm.fin,MIN($E226,N$4),_xlpm.feriados,IF($H226="CO",FER_CO,FER_EC),_xlpm.dias,IF(_xlpm.inicio&gt;_xlpm.fin,0,NETWORKDAYS(_xlpm.inicio,_xlpm.fin,_xlpm.feriados)),_xlpm.factor,IF($G226="Probable",IF(Parametros!$B$6="Sí",1,0),1),IF(OR($A226="",$D226="",$E226=""),0,_xlpm.dias*$I226*_xlpm.factor))</f>
        <v/>
      </c>
      <c r="O226" s="33">
        <f>_xlfn.LET(_xlpm.inicio,MAX($D226,O$3),_xlpm.fin,MIN($E226,O$4),_xlpm.feriados,IF($H226="CO",FER_CO,FER_EC),_xlpm.dias,IF(_xlpm.inicio&gt;_xlpm.fin,0,NETWORKDAYS(_xlpm.inicio,_xlpm.fin,_xlpm.feriados)),_xlpm.factor,IF($G226="Probable",IF(Parametros!$B$6="Sí",1,0),1),IF(OR($A226="",$D226="",$E226=""),0,_xlpm.dias*$I226*_xlpm.factor))</f>
        <v/>
      </c>
      <c r="P226" s="34">
        <f>_xlfn.LET(_xlpm.horas,J226,_xlpm.feriados,IF($H226="CO",FER_CO,FER_EC),_xlpm.capacidad,NETWORKDAYS(J$3,J$4,_xlpm.feriados)*INDEX(Consultores!$C$6:$C$65,MATCH($A226,Consultores!$A$6:$A$65,0)),IF(_xlpm.horas=0,"",IFERROR(_xlpm.horas/_xlpm.capacidad,"")))</f>
        <v/>
      </c>
      <c r="Q226" s="34">
        <f>_xlfn.LET(_xlpm.horas,K226,_xlpm.feriados,IF($H226="CO",FER_CO,FER_EC),_xlpm.capacidad,NETWORKDAYS(K$3,K$4,_xlpm.feriados)*INDEX(Consultores!$C$6:$C$65,MATCH($A226,Consultores!$A$6:$A$65,0)),IF(_xlpm.horas=0,"",IFERROR(_xlpm.horas/_xlpm.capacidad,"")))</f>
        <v/>
      </c>
      <c r="R226" s="34">
        <f>_xlfn.LET(_xlpm.horas,L226,_xlpm.feriados,IF($H226="CO",FER_CO,FER_EC),_xlpm.capacidad,NETWORKDAYS(L$3,L$4,_xlpm.feriados)*INDEX(Consultores!$C$6:$C$65,MATCH($A226,Consultores!$A$6:$A$65,0)),IF(_xlpm.horas=0,"",IFERROR(_xlpm.horas/_xlpm.capacidad,"")))</f>
        <v/>
      </c>
      <c r="S226" s="34">
        <f>_xlfn.LET(_xlpm.horas,M226,_xlpm.feriados,IF($H226="CO",FER_CO,FER_EC),_xlpm.capacidad,NETWORKDAYS(M$3,M$4,_xlpm.feriados)*INDEX(Consultores!$C$6:$C$65,MATCH($A226,Consultores!$A$6:$A$65,0)),IF(_xlpm.horas=0,"",IFERROR(_xlpm.horas/_xlpm.capacidad,"")))</f>
        <v/>
      </c>
      <c r="T226" s="34">
        <f>_xlfn.LET(_xlpm.horas,N226,_xlpm.feriados,IF($H226="CO",FER_CO,FER_EC),_xlpm.capacidad,NETWORKDAYS(N$3,N$4,_xlpm.feriados)*INDEX(Consultores!$C$6:$C$65,MATCH($A226,Consultores!$A$6:$A$65,0)),IF(_xlpm.horas=0,"",IFERROR(_xlpm.horas/_xlpm.capacidad,"")))</f>
        <v/>
      </c>
      <c r="U226" s="34">
        <f>_xlfn.LET(_xlpm.horas,O226,_xlpm.feriados,IF($H226="CO",FER_CO,FER_EC),_xlpm.capacidad,NETWORKDAYS(O$3,O$4,_xlpm.feriados)*INDEX(Consultores!$C$6:$C$65,MATCH($A226,Consultores!$A$6:$A$65,0)),IF(_xlpm.horas=0,"",IFERROR(_xlpm.horas/_xlpm.capacidad,"")))</f>
        <v/>
      </c>
    </row>
    <row r="227">
      <c r="A227" s="25" t="n"/>
      <c r="B227" s="25" t="n"/>
      <c r="C227" s="25" t="n"/>
      <c r="D227" s="30" t="n"/>
      <c r="E227" s="30" t="n"/>
      <c r="F227" s="26" t="n"/>
      <c r="G227" s="25" t="n"/>
      <c r="H227" s="31">
        <f>IF($A227="","",IFERROR(INDEX(Consultores!$B$6:$B$65,MATCH($A227,Consultores!$A$6:$A$65,0)),"No existe"))</f>
        <v/>
      </c>
      <c r="I227" s="32">
        <f>IF($F227="",0,$F227/5)</f>
        <v/>
      </c>
      <c r="J227" s="33">
        <f>_xlfn.LET(_xlpm.inicio,MAX($D227,J$3),_xlpm.fin,MIN($E227,J$4),_xlpm.feriados,IF($H227="CO",FER_CO,FER_EC),_xlpm.dias,IF(_xlpm.inicio&gt;_xlpm.fin,0,NETWORKDAYS(_xlpm.inicio,_xlpm.fin,_xlpm.feriados)),_xlpm.factor,IF($G227="Probable",IF(Parametros!$B$6="Sí",1,0),1),IF(OR($A227="",$D227="",$E227=""),0,_xlpm.dias*$I227*_xlpm.factor))</f>
        <v/>
      </c>
      <c r="K227" s="33">
        <f>_xlfn.LET(_xlpm.inicio,MAX($D227,K$3),_xlpm.fin,MIN($E227,K$4),_xlpm.feriados,IF($H227="CO",FER_CO,FER_EC),_xlpm.dias,IF(_xlpm.inicio&gt;_xlpm.fin,0,NETWORKDAYS(_xlpm.inicio,_xlpm.fin,_xlpm.feriados)),_xlpm.factor,IF($G227="Probable",IF(Parametros!$B$6="Sí",1,0),1),IF(OR($A227="",$D227="",$E227=""),0,_xlpm.dias*$I227*_xlpm.factor))</f>
        <v/>
      </c>
      <c r="L227" s="33">
        <f>_xlfn.LET(_xlpm.inicio,MAX($D227,L$3),_xlpm.fin,MIN($E227,L$4),_xlpm.feriados,IF($H227="CO",FER_CO,FER_EC),_xlpm.dias,IF(_xlpm.inicio&gt;_xlpm.fin,0,NETWORKDAYS(_xlpm.inicio,_xlpm.fin,_xlpm.feriados)),_xlpm.factor,IF($G227="Probable",IF(Parametros!$B$6="Sí",1,0),1),IF(OR($A227="",$D227="",$E227=""),0,_xlpm.dias*$I227*_xlpm.factor))</f>
        <v/>
      </c>
      <c r="M227" s="33">
        <f>_xlfn.LET(_xlpm.inicio,MAX($D227,M$3),_xlpm.fin,MIN($E227,M$4),_xlpm.feriados,IF($H227="CO",FER_CO,FER_EC),_xlpm.dias,IF(_xlpm.inicio&gt;_xlpm.fin,0,NETWORKDAYS(_xlpm.inicio,_xlpm.fin,_xlpm.feriados)),_xlpm.factor,IF($G227="Probable",IF(Parametros!$B$6="Sí",1,0),1),IF(OR($A227="",$D227="",$E227=""),0,_xlpm.dias*$I227*_xlpm.factor))</f>
        <v/>
      </c>
      <c r="N227" s="33">
        <f>_xlfn.LET(_xlpm.inicio,MAX($D227,N$3),_xlpm.fin,MIN($E227,N$4),_xlpm.feriados,IF($H227="CO",FER_CO,FER_EC),_xlpm.dias,IF(_xlpm.inicio&gt;_xlpm.fin,0,NETWORKDAYS(_xlpm.inicio,_xlpm.fin,_xlpm.feriados)),_xlpm.factor,IF($G227="Probable",IF(Parametros!$B$6="Sí",1,0),1),IF(OR($A227="",$D227="",$E227=""),0,_xlpm.dias*$I227*_xlpm.factor))</f>
        <v/>
      </c>
      <c r="O227" s="33">
        <f>_xlfn.LET(_xlpm.inicio,MAX($D227,O$3),_xlpm.fin,MIN($E227,O$4),_xlpm.feriados,IF($H227="CO",FER_CO,FER_EC),_xlpm.dias,IF(_xlpm.inicio&gt;_xlpm.fin,0,NETWORKDAYS(_xlpm.inicio,_xlpm.fin,_xlpm.feriados)),_xlpm.factor,IF($G227="Probable",IF(Parametros!$B$6="Sí",1,0),1),IF(OR($A227="",$D227="",$E227=""),0,_xlpm.dias*$I227*_xlpm.factor))</f>
        <v/>
      </c>
      <c r="P227" s="34">
        <f>_xlfn.LET(_xlpm.horas,J227,_xlpm.feriados,IF($H227="CO",FER_CO,FER_EC),_xlpm.capacidad,NETWORKDAYS(J$3,J$4,_xlpm.feriados)*INDEX(Consultores!$C$6:$C$65,MATCH($A227,Consultores!$A$6:$A$65,0)),IF(_xlpm.horas=0,"",IFERROR(_xlpm.horas/_xlpm.capacidad,"")))</f>
        <v/>
      </c>
      <c r="Q227" s="34">
        <f>_xlfn.LET(_xlpm.horas,K227,_xlpm.feriados,IF($H227="CO",FER_CO,FER_EC),_xlpm.capacidad,NETWORKDAYS(K$3,K$4,_xlpm.feriados)*INDEX(Consultores!$C$6:$C$65,MATCH($A227,Consultores!$A$6:$A$65,0)),IF(_xlpm.horas=0,"",IFERROR(_xlpm.horas/_xlpm.capacidad,"")))</f>
        <v/>
      </c>
      <c r="R227" s="34">
        <f>_xlfn.LET(_xlpm.horas,L227,_xlpm.feriados,IF($H227="CO",FER_CO,FER_EC),_xlpm.capacidad,NETWORKDAYS(L$3,L$4,_xlpm.feriados)*INDEX(Consultores!$C$6:$C$65,MATCH($A227,Consultores!$A$6:$A$65,0)),IF(_xlpm.horas=0,"",IFERROR(_xlpm.horas/_xlpm.capacidad,"")))</f>
        <v/>
      </c>
      <c r="S227" s="34">
        <f>_xlfn.LET(_xlpm.horas,M227,_xlpm.feriados,IF($H227="CO",FER_CO,FER_EC),_xlpm.capacidad,NETWORKDAYS(M$3,M$4,_xlpm.feriados)*INDEX(Consultores!$C$6:$C$65,MATCH($A227,Consultores!$A$6:$A$65,0)),IF(_xlpm.horas=0,"",IFERROR(_xlpm.horas/_xlpm.capacidad,"")))</f>
        <v/>
      </c>
      <c r="T227" s="34">
        <f>_xlfn.LET(_xlpm.horas,N227,_xlpm.feriados,IF($H227="CO",FER_CO,FER_EC),_xlpm.capacidad,NETWORKDAYS(N$3,N$4,_xlpm.feriados)*INDEX(Consultores!$C$6:$C$65,MATCH($A227,Consultores!$A$6:$A$65,0)),IF(_xlpm.horas=0,"",IFERROR(_xlpm.horas/_xlpm.capacidad,"")))</f>
        <v/>
      </c>
      <c r="U227" s="34">
        <f>_xlfn.LET(_xlpm.horas,O227,_xlpm.feriados,IF($H227="CO",FER_CO,FER_EC),_xlpm.capacidad,NETWORKDAYS(O$3,O$4,_xlpm.feriados)*INDEX(Consultores!$C$6:$C$65,MATCH($A227,Consultores!$A$6:$A$65,0)),IF(_xlpm.horas=0,"",IFERROR(_xlpm.horas/_xlpm.capacidad,"")))</f>
        <v/>
      </c>
    </row>
    <row r="228">
      <c r="A228" s="25" t="n"/>
      <c r="B228" s="25" t="n"/>
      <c r="C228" s="25" t="n"/>
      <c r="D228" s="30" t="n"/>
      <c r="E228" s="30" t="n"/>
      <c r="F228" s="26" t="n"/>
      <c r="G228" s="25" t="n"/>
      <c r="H228" s="31">
        <f>IF($A228="","",IFERROR(INDEX(Consultores!$B$6:$B$65,MATCH($A228,Consultores!$A$6:$A$65,0)),"No existe"))</f>
        <v/>
      </c>
      <c r="I228" s="32">
        <f>IF($F228="",0,$F228/5)</f>
        <v/>
      </c>
      <c r="J228" s="33">
        <f>_xlfn.LET(_xlpm.inicio,MAX($D228,J$3),_xlpm.fin,MIN($E228,J$4),_xlpm.feriados,IF($H228="CO",FER_CO,FER_EC),_xlpm.dias,IF(_xlpm.inicio&gt;_xlpm.fin,0,NETWORKDAYS(_xlpm.inicio,_xlpm.fin,_xlpm.feriados)),_xlpm.factor,IF($G228="Probable",IF(Parametros!$B$6="Sí",1,0),1),IF(OR($A228="",$D228="",$E228=""),0,_xlpm.dias*$I228*_xlpm.factor))</f>
        <v/>
      </c>
      <c r="K228" s="33">
        <f>_xlfn.LET(_xlpm.inicio,MAX($D228,K$3),_xlpm.fin,MIN($E228,K$4),_xlpm.feriados,IF($H228="CO",FER_CO,FER_EC),_xlpm.dias,IF(_xlpm.inicio&gt;_xlpm.fin,0,NETWORKDAYS(_xlpm.inicio,_xlpm.fin,_xlpm.feriados)),_xlpm.factor,IF($G228="Probable",IF(Parametros!$B$6="Sí",1,0),1),IF(OR($A228="",$D228="",$E228=""),0,_xlpm.dias*$I228*_xlpm.factor))</f>
        <v/>
      </c>
      <c r="L228" s="33">
        <f>_xlfn.LET(_xlpm.inicio,MAX($D228,L$3),_xlpm.fin,MIN($E228,L$4),_xlpm.feriados,IF($H228="CO",FER_CO,FER_EC),_xlpm.dias,IF(_xlpm.inicio&gt;_xlpm.fin,0,NETWORKDAYS(_xlpm.inicio,_xlpm.fin,_xlpm.feriados)),_xlpm.factor,IF($G228="Probable",IF(Parametros!$B$6="Sí",1,0),1),IF(OR($A228="",$D228="",$E228=""),0,_xlpm.dias*$I228*_xlpm.factor))</f>
        <v/>
      </c>
      <c r="M228" s="33">
        <f>_xlfn.LET(_xlpm.inicio,MAX($D228,M$3),_xlpm.fin,MIN($E228,M$4),_xlpm.feriados,IF($H228="CO",FER_CO,FER_EC),_xlpm.dias,IF(_xlpm.inicio&gt;_xlpm.fin,0,NETWORKDAYS(_xlpm.inicio,_xlpm.fin,_xlpm.feriados)),_xlpm.factor,IF($G228="Probable",IF(Parametros!$B$6="Sí",1,0),1),IF(OR($A228="",$D228="",$E228=""),0,_xlpm.dias*$I228*_xlpm.factor))</f>
        <v/>
      </c>
      <c r="N228" s="33">
        <f>_xlfn.LET(_xlpm.inicio,MAX($D228,N$3),_xlpm.fin,MIN($E228,N$4),_xlpm.feriados,IF($H228="CO",FER_CO,FER_EC),_xlpm.dias,IF(_xlpm.inicio&gt;_xlpm.fin,0,NETWORKDAYS(_xlpm.inicio,_xlpm.fin,_xlpm.feriados)),_xlpm.factor,IF($G228="Probable",IF(Parametros!$B$6="Sí",1,0),1),IF(OR($A228="",$D228="",$E228=""),0,_xlpm.dias*$I228*_xlpm.factor))</f>
        <v/>
      </c>
      <c r="O228" s="33">
        <f>_xlfn.LET(_xlpm.inicio,MAX($D228,O$3),_xlpm.fin,MIN($E228,O$4),_xlpm.feriados,IF($H228="CO",FER_CO,FER_EC),_xlpm.dias,IF(_xlpm.inicio&gt;_xlpm.fin,0,NETWORKDAYS(_xlpm.inicio,_xlpm.fin,_xlpm.feriados)),_xlpm.factor,IF($G228="Probable",IF(Parametros!$B$6="Sí",1,0),1),IF(OR($A228="",$D228="",$E228=""),0,_xlpm.dias*$I228*_xlpm.factor))</f>
        <v/>
      </c>
      <c r="P228" s="34">
        <f>_xlfn.LET(_xlpm.horas,J228,_xlpm.feriados,IF($H228="CO",FER_CO,FER_EC),_xlpm.capacidad,NETWORKDAYS(J$3,J$4,_xlpm.feriados)*INDEX(Consultores!$C$6:$C$65,MATCH($A228,Consultores!$A$6:$A$65,0)),IF(_xlpm.horas=0,"",IFERROR(_xlpm.horas/_xlpm.capacidad,"")))</f>
        <v/>
      </c>
      <c r="Q228" s="34">
        <f>_xlfn.LET(_xlpm.horas,K228,_xlpm.feriados,IF($H228="CO",FER_CO,FER_EC),_xlpm.capacidad,NETWORKDAYS(K$3,K$4,_xlpm.feriados)*INDEX(Consultores!$C$6:$C$65,MATCH($A228,Consultores!$A$6:$A$65,0)),IF(_xlpm.horas=0,"",IFERROR(_xlpm.horas/_xlpm.capacidad,"")))</f>
        <v/>
      </c>
      <c r="R228" s="34">
        <f>_xlfn.LET(_xlpm.horas,L228,_xlpm.feriados,IF($H228="CO",FER_CO,FER_EC),_xlpm.capacidad,NETWORKDAYS(L$3,L$4,_xlpm.feriados)*INDEX(Consultores!$C$6:$C$65,MATCH($A228,Consultores!$A$6:$A$65,0)),IF(_xlpm.horas=0,"",IFERROR(_xlpm.horas/_xlpm.capacidad,"")))</f>
        <v/>
      </c>
      <c r="S228" s="34">
        <f>_xlfn.LET(_xlpm.horas,M228,_xlpm.feriados,IF($H228="CO",FER_CO,FER_EC),_xlpm.capacidad,NETWORKDAYS(M$3,M$4,_xlpm.feriados)*INDEX(Consultores!$C$6:$C$65,MATCH($A228,Consultores!$A$6:$A$65,0)),IF(_xlpm.horas=0,"",IFERROR(_xlpm.horas/_xlpm.capacidad,"")))</f>
        <v/>
      </c>
      <c r="T228" s="34">
        <f>_xlfn.LET(_xlpm.horas,N228,_xlpm.feriados,IF($H228="CO",FER_CO,FER_EC),_xlpm.capacidad,NETWORKDAYS(N$3,N$4,_xlpm.feriados)*INDEX(Consultores!$C$6:$C$65,MATCH($A228,Consultores!$A$6:$A$65,0)),IF(_xlpm.horas=0,"",IFERROR(_xlpm.horas/_xlpm.capacidad,"")))</f>
        <v/>
      </c>
      <c r="U228" s="34">
        <f>_xlfn.LET(_xlpm.horas,O228,_xlpm.feriados,IF($H228="CO",FER_CO,FER_EC),_xlpm.capacidad,NETWORKDAYS(O$3,O$4,_xlpm.feriados)*INDEX(Consultores!$C$6:$C$65,MATCH($A228,Consultores!$A$6:$A$65,0)),IF(_xlpm.horas=0,"",IFERROR(_xlpm.horas/_xlpm.capacidad,"")))</f>
        <v/>
      </c>
    </row>
    <row r="229">
      <c r="A229" s="25" t="n"/>
      <c r="B229" s="25" t="n"/>
      <c r="C229" s="25" t="n"/>
      <c r="D229" s="30" t="n"/>
      <c r="E229" s="30" t="n"/>
      <c r="F229" s="26" t="n"/>
      <c r="G229" s="25" t="n"/>
      <c r="H229" s="31">
        <f>IF($A229="","",IFERROR(INDEX(Consultores!$B$6:$B$65,MATCH($A229,Consultores!$A$6:$A$65,0)),"No existe"))</f>
        <v/>
      </c>
      <c r="I229" s="32">
        <f>IF($F229="",0,$F229/5)</f>
        <v/>
      </c>
      <c r="J229" s="33">
        <f>_xlfn.LET(_xlpm.inicio,MAX($D229,J$3),_xlpm.fin,MIN($E229,J$4),_xlpm.feriados,IF($H229="CO",FER_CO,FER_EC),_xlpm.dias,IF(_xlpm.inicio&gt;_xlpm.fin,0,NETWORKDAYS(_xlpm.inicio,_xlpm.fin,_xlpm.feriados)),_xlpm.factor,IF($G229="Probable",IF(Parametros!$B$6="Sí",1,0),1),IF(OR($A229="",$D229="",$E229=""),0,_xlpm.dias*$I229*_xlpm.factor))</f>
        <v/>
      </c>
      <c r="K229" s="33">
        <f>_xlfn.LET(_xlpm.inicio,MAX($D229,K$3),_xlpm.fin,MIN($E229,K$4),_xlpm.feriados,IF($H229="CO",FER_CO,FER_EC),_xlpm.dias,IF(_xlpm.inicio&gt;_xlpm.fin,0,NETWORKDAYS(_xlpm.inicio,_xlpm.fin,_xlpm.feriados)),_xlpm.factor,IF($G229="Probable",IF(Parametros!$B$6="Sí",1,0),1),IF(OR($A229="",$D229="",$E229=""),0,_xlpm.dias*$I229*_xlpm.factor))</f>
        <v/>
      </c>
      <c r="L229" s="33">
        <f>_xlfn.LET(_xlpm.inicio,MAX($D229,L$3),_xlpm.fin,MIN($E229,L$4),_xlpm.feriados,IF($H229="CO",FER_CO,FER_EC),_xlpm.dias,IF(_xlpm.inicio&gt;_xlpm.fin,0,NETWORKDAYS(_xlpm.inicio,_xlpm.fin,_xlpm.feriados)),_xlpm.factor,IF($G229="Probable",IF(Parametros!$B$6="Sí",1,0),1),IF(OR($A229="",$D229="",$E229=""),0,_xlpm.dias*$I229*_xlpm.factor))</f>
        <v/>
      </c>
      <c r="M229" s="33">
        <f>_xlfn.LET(_xlpm.inicio,MAX($D229,M$3),_xlpm.fin,MIN($E229,M$4),_xlpm.feriados,IF($H229="CO",FER_CO,FER_EC),_xlpm.dias,IF(_xlpm.inicio&gt;_xlpm.fin,0,NETWORKDAYS(_xlpm.inicio,_xlpm.fin,_xlpm.feriados)),_xlpm.factor,IF($G229="Probable",IF(Parametros!$B$6="Sí",1,0),1),IF(OR($A229="",$D229="",$E229=""),0,_xlpm.dias*$I229*_xlpm.factor))</f>
        <v/>
      </c>
      <c r="N229" s="33">
        <f>_xlfn.LET(_xlpm.inicio,MAX($D229,N$3),_xlpm.fin,MIN($E229,N$4),_xlpm.feriados,IF($H229="CO",FER_CO,FER_EC),_xlpm.dias,IF(_xlpm.inicio&gt;_xlpm.fin,0,NETWORKDAYS(_xlpm.inicio,_xlpm.fin,_xlpm.feriados)),_xlpm.factor,IF($G229="Probable",IF(Parametros!$B$6="Sí",1,0),1),IF(OR($A229="",$D229="",$E229=""),0,_xlpm.dias*$I229*_xlpm.factor))</f>
        <v/>
      </c>
      <c r="O229" s="33">
        <f>_xlfn.LET(_xlpm.inicio,MAX($D229,O$3),_xlpm.fin,MIN($E229,O$4),_xlpm.feriados,IF($H229="CO",FER_CO,FER_EC),_xlpm.dias,IF(_xlpm.inicio&gt;_xlpm.fin,0,NETWORKDAYS(_xlpm.inicio,_xlpm.fin,_xlpm.feriados)),_xlpm.factor,IF($G229="Probable",IF(Parametros!$B$6="Sí",1,0),1),IF(OR($A229="",$D229="",$E229=""),0,_xlpm.dias*$I229*_xlpm.factor))</f>
        <v/>
      </c>
      <c r="P229" s="34">
        <f>_xlfn.LET(_xlpm.horas,J229,_xlpm.feriados,IF($H229="CO",FER_CO,FER_EC),_xlpm.capacidad,NETWORKDAYS(J$3,J$4,_xlpm.feriados)*INDEX(Consultores!$C$6:$C$65,MATCH($A229,Consultores!$A$6:$A$65,0)),IF(_xlpm.horas=0,"",IFERROR(_xlpm.horas/_xlpm.capacidad,"")))</f>
        <v/>
      </c>
      <c r="Q229" s="34">
        <f>_xlfn.LET(_xlpm.horas,K229,_xlpm.feriados,IF($H229="CO",FER_CO,FER_EC),_xlpm.capacidad,NETWORKDAYS(K$3,K$4,_xlpm.feriados)*INDEX(Consultores!$C$6:$C$65,MATCH($A229,Consultores!$A$6:$A$65,0)),IF(_xlpm.horas=0,"",IFERROR(_xlpm.horas/_xlpm.capacidad,"")))</f>
        <v/>
      </c>
      <c r="R229" s="34">
        <f>_xlfn.LET(_xlpm.horas,L229,_xlpm.feriados,IF($H229="CO",FER_CO,FER_EC),_xlpm.capacidad,NETWORKDAYS(L$3,L$4,_xlpm.feriados)*INDEX(Consultores!$C$6:$C$65,MATCH($A229,Consultores!$A$6:$A$65,0)),IF(_xlpm.horas=0,"",IFERROR(_xlpm.horas/_xlpm.capacidad,"")))</f>
        <v/>
      </c>
      <c r="S229" s="34">
        <f>_xlfn.LET(_xlpm.horas,M229,_xlpm.feriados,IF($H229="CO",FER_CO,FER_EC),_xlpm.capacidad,NETWORKDAYS(M$3,M$4,_xlpm.feriados)*INDEX(Consultores!$C$6:$C$65,MATCH($A229,Consultores!$A$6:$A$65,0)),IF(_xlpm.horas=0,"",IFERROR(_xlpm.horas/_xlpm.capacidad,"")))</f>
        <v/>
      </c>
      <c r="T229" s="34">
        <f>_xlfn.LET(_xlpm.horas,N229,_xlpm.feriados,IF($H229="CO",FER_CO,FER_EC),_xlpm.capacidad,NETWORKDAYS(N$3,N$4,_xlpm.feriados)*INDEX(Consultores!$C$6:$C$65,MATCH($A229,Consultores!$A$6:$A$65,0)),IF(_xlpm.horas=0,"",IFERROR(_xlpm.horas/_xlpm.capacidad,"")))</f>
        <v/>
      </c>
      <c r="U229" s="34">
        <f>_xlfn.LET(_xlpm.horas,O229,_xlpm.feriados,IF($H229="CO",FER_CO,FER_EC),_xlpm.capacidad,NETWORKDAYS(O$3,O$4,_xlpm.feriados)*INDEX(Consultores!$C$6:$C$65,MATCH($A229,Consultores!$A$6:$A$65,0)),IF(_xlpm.horas=0,"",IFERROR(_xlpm.horas/_xlpm.capacidad,"")))</f>
        <v/>
      </c>
    </row>
    <row r="230">
      <c r="A230" s="25" t="n"/>
      <c r="B230" s="25" t="n"/>
      <c r="C230" s="25" t="n"/>
      <c r="D230" s="30" t="n"/>
      <c r="E230" s="30" t="n"/>
      <c r="F230" s="26" t="n"/>
      <c r="G230" s="25" t="n"/>
      <c r="H230" s="31">
        <f>IF($A230="","",IFERROR(INDEX(Consultores!$B$6:$B$65,MATCH($A230,Consultores!$A$6:$A$65,0)),"No existe"))</f>
        <v/>
      </c>
      <c r="I230" s="32">
        <f>IF($F230="",0,$F230/5)</f>
        <v/>
      </c>
      <c r="J230" s="33">
        <f>_xlfn.LET(_xlpm.inicio,MAX($D230,J$3),_xlpm.fin,MIN($E230,J$4),_xlpm.feriados,IF($H230="CO",FER_CO,FER_EC),_xlpm.dias,IF(_xlpm.inicio&gt;_xlpm.fin,0,NETWORKDAYS(_xlpm.inicio,_xlpm.fin,_xlpm.feriados)),_xlpm.factor,IF($G230="Probable",IF(Parametros!$B$6="Sí",1,0),1),IF(OR($A230="",$D230="",$E230=""),0,_xlpm.dias*$I230*_xlpm.factor))</f>
        <v/>
      </c>
      <c r="K230" s="33">
        <f>_xlfn.LET(_xlpm.inicio,MAX($D230,K$3),_xlpm.fin,MIN($E230,K$4),_xlpm.feriados,IF($H230="CO",FER_CO,FER_EC),_xlpm.dias,IF(_xlpm.inicio&gt;_xlpm.fin,0,NETWORKDAYS(_xlpm.inicio,_xlpm.fin,_xlpm.feriados)),_xlpm.factor,IF($G230="Probable",IF(Parametros!$B$6="Sí",1,0),1),IF(OR($A230="",$D230="",$E230=""),0,_xlpm.dias*$I230*_xlpm.factor))</f>
        <v/>
      </c>
      <c r="L230" s="33">
        <f>_xlfn.LET(_xlpm.inicio,MAX($D230,L$3),_xlpm.fin,MIN($E230,L$4),_xlpm.feriados,IF($H230="CO",FER_CO,FER_EC),_xlpm.dias,IF(_xlpm.inicio&gt;_xlpm.fin,0,NETWORKDAYS(_xlpm.inicio,_xlpm.fin,_xlpm.feriados)),_xlpm.factor,IF($G230="Probable",IF(Parametros!$B$6="Sí",1,0),1),IF(OR($A230="",$D230="",$E230=""),0,_xlpm.dias*$I230*_xlpm.factor))</f>
        <v/>
      </c>
      <c r="M230" s="33">
        <f>_xlfn.LET(_xlpm.inicio,MAX($D230,M$3),_xlpm.fin,MIN($E230,M$4),_xlpm.feriados,IF($H230="CO",FER_CO,FER_EC),_xlpm.dias,IF(_xlpm.inicio&gt;_xlpm.fin,0,NETWORKDAYS(_xlpm.inicio,_xlpm.fin,_xlpm.feriados)),_xlpm.factor,IF($G230="Probable",IF(Parametros!$B$6="Sí",1,0),1),IF(OR($A230="",$D230="",$E230=""),0,_xlpm.dias*$I230*_xlpm.factor))</f>
        <v/>
      </c>
      <c r="N230" s="33">
        <f>_xlfn.LET(_xlpm.inicio,MAX($D230,N$3),_xlpm.fin,MIN($E230,N$4),_xlpm.feriados,IF($H230="CO",FER_CO,FER_EC),_xlpm.dias,IF(_xlpm.inicio&gt;_xlpm.fin,0,NETWORKDAYS(_xlpm.inicio,_xlpm.fin,_xlpm.feriados)),_xlpm.factor,IF($G230="Probable",IF(Parametros!$B$6="Sí",1,0),1),IF(OR($A230="",$D230="",$E230=""),0,_xlpm.dias*$I230*_xlpm.factor))</f>
        <v/>
      </c>
      <c r="O230" s="33">
        <f>_xlfn.LET(_xlpm.inicio,MAX($D230,O$3),_xlpm.fin,MIN($E230,O$4),_xlpm.feriados,IF($H230="CO",FER_CO,FER_EC),_xlpm.dias,IF(_xlpm.inicio&gt;_xlpm.fin,0,NETWORKDAYS(_xlpm.inicio,_xlpm.fin,_xlpm.feriados)),_xlpm.factor,IF($G230="Probable",IF(Parametros!$B$6="Sí",1,0),1),IF(OR($A230="",$D230="",$E230=""),0,_xlpm.dias*$I230*_xlpm.factor))</f>
        <v/>
      </c>
      <c r="P230" s="34">
        <f>_xlfn.LET(_xlpm.horas,J230,_xlpm.feriados,IF($H230="CO",FER_CO,FER_EC),_xlpm.capacidad,NETWORKDAYS(J$3,J$4,_xlpm.feriados)*INDEX(Consultores!$C$6:$C$65,MATCH($A230,Consultores!$A$6:$A$65,0)),IF(_xlpm.horas=0,"",IFERROR(_xlpm.horas/_xlpm.capacidad,"")))</f>
        <v/>
      </c>
      <c r="Q230" s="34">
        <f>_xlfn.LET(_xlpm.horas,K230,_xlpm.feriados,IF($H230="CO",FER_CO,FER_EC),_xlpm.capacidad,NETWORKDAYS(K$3,K$4,_xlpm.feriados)*INDEX(Consultores!$C$6:$C$65,MATCH($A230,Consultores!$A$6:$A$65,0)),IF(_xlpm.horas=0,"",IFERROR(_xlpm.horas/_xlpm.capacidad,"")))</f>
        <v/>
      </c>
      <c r="R230" s="34">
        <f>_xlfn.LET(_xlpm.horas,L230,_xlpm.feriados,IF($H230="CO",FER_CO,FER_EC),_xlpm.capacidad,NETWORKDAYS(L$3,L$4,_xlpm.feriados)*INDEX(Consultores!$C$6:$C$65,MATCH($A230,Consultores!$A$6:$A$65,0)),IF(_xlpm.horas=0,"",IFERROR(_xlpm.horas/_xlpm.capacidad,"")))</f>
        <v/>
      </c>
      <c r="S230" s="34">
        <f>_xlfn.LET(_xlpm.horas,M230,_xlpm.feriados,IF($H230="CO",FER_CO,FER_EC),_xlpm.capacidad,NETWORKDAYS(M$3,M$4,_xlpm.feriados)*INDEX(Consultores!$C$6:$C$65,MATCH($A230,Consultores!$A$6:$A$65,0)),IF(_xlpm.horas=0,"",IFERROR(_xlpm.horas/_xlpm.capacidad,"")))</f>
        <v/>
      </c>
      <c r="T230" s="34">
        <f>_xlfn.LET(_xlpm.horas,N230,_xlpm.feriados,IF($H230="CO",FER_CO,FER_EC),_xlpm.capacidad,NETWORKDAYS(N$3,N$4,_xlpm.feriados)*INDEX(Consultores!$C$6:$C$65,MATCH($A230,Consultores!$A$6:$A$65,0)),IF(_xlpm.horas=0,"",IFERROR(_xlpm.horas/_xlpm.capacidad,"")))</f>
        <v/>
      </c>
      <c r="U230" s="34">
        <f>_xlfn.LET(_xlpm.horas,O230,_xlpm.feriados,IF($H230="CO",FER_CO,FER_EC),_xlpm.capacidad,NETWORKDAYS(O$3,O$4,_xlpm.feriados)*INDEX(Consultores!$C$6:$C$65,MATCH($A230,Consultores!$A$6:$A$65,0)),IF(_xlpm.horas=0,"",IFERROR(_xlpm.horas/_xlpm.capacidad,"")))</f>
        <v/>
      </c>
    </row>
    <row r="231">
      <c r="A231" s="25" t="n"/>
      <c r="B231" s="25" t="n"/>
      <c r="C231" s="25" t="n"/>
      <c r="D231" s="30" t="n"/>
      <c r="E231" s="30" t="n"/>
      <c r="F231" s="26" t="n"/>
      <c r="G231" s="25" t="n"/>
      <c r="H231" s="31">
        <f>IF($A231="","",IFERROR(INDEX(Consultores!$B$6:$B$65,MATCH($A231,Consultores!$A$6:$A$65,0)),"No existe"))</f>
        <v/>
      </c>
      <c r="I231" s="32">
        <f>IF($F231="",0,$F231/5)</f>
        <v/>
      </c>
      <c r="J231" s="33">
        <f>_xlfn.LET(_xlpm.inicio,MAX($D231,J$3),_xlpm.fin,MIN($E231,J$4),_xlpm.feriados,IF($H231="CO",FER_CO,FER_EC),_xlpm.dias,IF(_xlpm.inicio&gt;_xlpm.fin,0,NETWORKDAYS(_xlpm.inicio,_xlpm.fin,_xlpm.feriados)),_xlpm.factor,IF($G231="Probable",IF(Parametros!$B$6="Sí",1,0),1),IF(OR($A231="",$D231="",$E231=""),0,_xlpm.dias*$I231*_xlpm.factor))</f>
        <v/>
      </c>
      <c r="K231" s="33">
        <f>_xlfn.LET(_xlpm.inicio,MAX($D231,K$3),_xlpm.fin,MIN($E231,K$4),_xlpm.feriados,IF($H231="CO",FER_CO,FER_EC),_xlpm.dias,IF(_xlpm.inicio&gt;_xlpm.fin,0,NETWORKDAYS(_xlpm.inicio,_xlpm.fin,_xlpm.feriados)),_xlpm.factor,IF($G231="Probable",IF(Parametros!$B$6="Sí",1,0),1),IF(OR($A231="",$D231="",$E231=""),0,_xlpm.dias*$I231*_xlpm.factor))</f>
        <v/>
      </c>
      <c r="L231" s="33">
        <f>_xlfn.LET(_xlpm.inicio,MAX($D231,L$3),_xlpm.fin,MIN($E231,L$4),_xlpm.feriados,IF($H231="CO",FER_CO,FER_EC),_xlpm.dias,IF(_xlpm.inicio&gt;_xlpm.fin,0,NETWORKDAYS(_xlpm.inicio,_xlpm.fin,_xlpm.feriados)),_xlpm.factor,IF($G231="Probable",IF(Parametros!$B$6="Sí",1,0),1),IF(OR($A231="",$D231="",$E231=""),0,_xlpm.dias*$I231*_xlpm.factor))</f>
        <v/>
      </c>
      <c r="M231" s="33">
        <f>_xlfn.LET(_xlpm.inicio,MAX($D231,M$3),_xlpm.fin,MIN($E231,M$4),_xlpm.feriados,IF($H231="CO",FER_CO,FER_EC),_xlpm.dias,IF(_xlpm.inicio&gt;_xlpm.fin,0,NETWORKDAYS(_xlpm.inicio,_xlpm.fin,_xlpm.feriados)),_xlpm.factor,IF($G231="Probable",IF(Parametros!$B$6="Sí",1,0),1),IF(OR($A231="",$D231="",$E231=""),0,_xlpm.dias*$I231*_xlpm.factor))</f>
        <v/>
      </c>
      <c r="N231" s="33">
        <f>_xlfn.LET(_xlpm.inicio,MAX($D231,N$3),_xlpm.fin,MIN($E231,N$4),_xlpm.feriados,IF($H231="CO",FER_CO,FER_EC),_xlpm.dias,IF(_xlpm.inicio&gt;_xlpm.fin,0,NETWORKDAYS(_xlpm.inicio,_xlpm.fin,_xlpm.feriados)),_xlpm.factor,IF($G231="Probable",IF(Parametros!$B$6="Sí",1,0),1),IF(OR($A231="",$D231="",$E231=""),0,_xlpm.dias*$I231*_xlpm.factor))</f>
        <v/>
      </c>
      <c r="O231" s="33">
        <f>_xlfn.LET(_xlpm.inicio,MAX($D231,O$3),_xlpm.fin,MIN($E231,O$4),_xlpm.feriados,IF($H231="CO",FER_CO,FER_EC),_xlpm.dias,IF(_xlpm.inicio&gt;_xlpm.fin,0,NETWORKDAYS(_xlpm.inicio,_xlpm.fin,_xlpm.feriados)),_xlpm.factor,IF($G231="Probable",IF(Parametros!$B$6="Sí",1,0),1),IF(OR($A231="",$D231="",$E231=""),0,_xlpm.dias*$I231*_xlpm.factor))</f>
        <v/>
      </c>
      <c r="P231" s="34">
        <f>_xlfn.LET(_xlpm.horas,J231,_xlpm.feriados,IF($H231="CO",FER_CO,FER_EC),_xlpm.capacidad,NETWORKDAYS(J$3,J$4,_xlpm.feriados)*INDEX(Consultores!$C$6:$C$65,MATCH($A231,Consultores!$A$6:$A$65,0)),IF(_xlpm.horas=0,"",IFERROR(_xlpm.horas/_xlpm.capacidad,"")))</f>
        <v/>
      </c>
      <c r="Q231" s="34">
        <f>_xlfn.LET(_xlpm.horas,K231,_xlpm.feriados,IF($H231="CO",FER_CO,FER_EC),_xlpm.capacidad,NETWORKDAYS(K$3,K$4,_xlpm.feriados)*INDEX(Consultores!$C$6:$C$65,MATCH($A231,Consultores!$A$6:$A$65,0)),IF(_xlpm.horas=0,"",IFERROR(_xlpm.horas/_xlpm.capacidad,"")))</f>
        <v/>
      </c>
      <c r="R231" s="34">
        <f>_xlfn.LET(_xlpm.horas,L231,_xlpm.feriados,IF($H231="CO",FER_CO,FER_EC),_xlpm.capacidad,NETWORKDAYS(L$3,L$4,_xlpm.feriados)*INDEX(Consultores!$C$6:$C$65,MATCH($A231,Consultores!$A$6:$A$65,0)),IF(_xlpm.horas=0,"",IFERROR(_xlpm.horas/_xlpm.capacidad,"")))</f>
        <v/>
      </c>
      <c r="S231" s="34">
        <f>_xlfn.LET(_xlpm.horas,M231,_xlpm.feriados,IF($H231="CO",FER_CO,FER_EC),_xlpm.capacidad,NETWORKDAYS(M$3,M$4,_xlpm.feriados)*INDEX(Consultores!$C$6:$C$65,MATCH($A231,Consultores!$A$6:$A$65,0)),IF(_xlpm.horas=0,"",IFERROR(_xlpm.horas/_xlpm.capacidad,"")))</f>
        <v/>
      </c>
      <c r="T231" s="34">
        <f>_xlfn.LET(_xlpm.horas,N231,_xlpm.feriados,IF($H231="CO",FER_CO,FER_EC),_xlpm.capacidad,NETWORKDAYS(N$3,N$4,_xlpm.feriados)*INDEX(Consultores!$C$6:$C$65,MATCH($A231,Consultores!$A$6:$A$65,0)),IF(_xlpm.horas=0,"",IFERROR(_xlpm.horas/_xlpm.capacidad,"")))</f>
        <v/>
      </c>
      <c r="U231" s="34">
        <f>_xlfn.LET(_xlpm.horas,O231,_xlpm.feriados,IF($H231="CO",FER_CO,FER_EC),_xlpm.capacidad,NETWORKDAYS(O$3,O$4,_xlpm.feriados)*INDEX(Consultores!$C$6:$C$65,MATCH($A231,Consultores!$A$6:$A$65,0)),IF(_xlpm.horas=0,"",IFERROR(_xlpm.horas/_xlpm.capacidad,"")))</f>
        <v/>
      </c>
    </row>
    <row r="232">
      <c r="A232" s="25" t="n"/>
      <c r="B232" s="25" t="n"/>
      <c r="C232" s="25" t="n"/>
      <c r="D232" s="30" t="n"/>
      <c r="E232" s="30" t="n"/>
      <c r="F232" s="26" t="n"/>
      <c r="G232" s="25" t="n"/>
      <c r="H232" s="31">
        <f>IF($A232="","",IFERROR(INDEX(Consultores!$B$6:$B$65,MATCH($A232,Consultores!$A$6:$A$65,0)),"No existe"))</f>
        <v/>
      </c>
      <c r="I232" s="32">
        <f>IF($F232="",0,$F232/5)</f>
        <v/>
      </c>
      <c r="J232" s="33">
        <f>_xlfn.LET(_xlpm.inicio,MAX($D232,J$3),_xlpm.fin,MIN($E232,J$4),_xlpm.feriados,IF($H232="CO",FER_CO,FER_EC),_xlpm.dias,IF(_xlpm.inicio&gt;_xlpm.fin,0,NETWORKDAYS(_xlpm.inicio,_xlpm.fin,_xlpm.feriados)),_xlpm.factor,IF($G232="Probable",IF(Parametros!$B$6="Sí",1,0),1),IF(OR($A232="",$D232="",$E232=""),0,_xlpm.dias*$I232*_xlpm.factor))</f>
        <v/>
      </c>
      <c r="K232" s="33">
        <f>_xlfn.LET(_xlpm.inicio,MAX($D232,K$3),_xlpm.fin,MIN($E232,K$4),_xlpm.feriados,IF($H232="CO",FER_CO,FER_EC),_xlpm.dias,IF(_xlpm.inicio&gt;_xlpm.fin,0,NETWORKDAYS(_xlpm.inicio,_xlpm.fin,_xlpm.feriados)),_xlpm.factor,IF($G232="Probable",IF(Parametros!$B$6="Sí",1,0),1),IF(OR($A232="",$D232="",$E232=""),0,_xlpm.dias*$I232*_xlpm.factor))</f>
        <v/>
      </c>
      <c r="L232" s="33">
        <f>_xlfn.LET(_xlpm.inicio,MAX($D232,L$3),_xlpm.fin,MIN($E232,L$4),_xlpm.feriados,IF($H232="CO",FER_CO,FER_EC),_xlpm.dias,IF(_xlpm.inicio&gt;_xlpm.fin,0,NETWORKDAYS(_xlpm.inicio,_xlpm.fin,_xlpm.feriados)),_xlpm.factor,IF($G232="Probable",IF(Parametros!$B$6="Sí",1,0),1),IF(OR($A232="",$D232="",$E232=""),0,_xlpm.dias*$I232*_xlpm.factor))</f>
        <v/>
      </c>
      <c r="M232" s="33">
        <f>_xlfn.LET(_xlpm.inicio,MAX($D232,M$3),_xlpm.fin,MIN($E232,M$4),_xlpm.feriados,IF($H232="CO",FER_CO,FER_EC),_xlpm.dias,IF(_xlpm.inicio&gt;_xlpm.fin,0,NETWORKDAYS(_xlpm.inicio,_xlpm.fin,_xlpm.feriados)),_xlpm.factor,IF($G232="Probable",IF(Parametros!$B$6="Sí",1,0),1),IF(OR($A232="",$D232="",$E232=""),0,_xlpm.dias*$I232*_xlpm.factor))</f>
        <v/>
      </c>
      <c r="N232" s="33">
        <f>_xlfn.LET(_xlpm.inicio,MAX($D232,N$3),_xlpm.fin,MIN($E232,N$4),_xlpm.feriados,IF($H232="CO",FER_CO,FER_EC),_xlpm.dias,IF(_xlpm.inicio&gt;_xlpm.fin,0,NETWORKDAYS(_xlpm.inicio,_xlpm.fin,_xlpm.feriados)),_xlpm.factor,IF($G232="Probable",IF(Parametros!$B$6="Sí",1,0),1),IF(OR($A232="",$D232="",$E232=""),0,_xlpm.dias*$I232*_xlpm.factor))</f>
        <v/>
      </c>
      <c r="O232" s="33">
        <f>_xlfn.LET(_xlpm.inicio,MAX($D232,O$3),_xlpm.fin,MIN($E232,O$4),_xlpm.feriados,IF($H232="CO",FER_CO,FER_EC),_xlpm.dias,IF(_xlpm.inicio&gt;_xlpm.fin,0,NETWORKDAYS(_xlpm.inicio,_xlpm.fin,_xlpm.feriados)),_xlpm.factor,IF($G232="Probable",IF(Parametros!$B$6="Sí",1,0),1),IF(OR($A232="",$D232="",$E232=""),0,_xlpm.dias*$I232*_xlpm.factor))</f>
        <v/>
      </c>
      <c r="P232" s="34">
        <f>_xlfn.LET(_xlpm.horas,J232,_xlpm.feriados,IF($H232="CO",FER_CO,FER_EC),_xlpm.capacidad,NETWORKDAYS(J$3,J$4,_xlpm.feriados)*INDEX(Consultores!$C$6:$C$65,MATCH($A232,Consultores!$A$6:$A$65,0)),IF(_xlpm.horas=0,"",IFERROR(_xlpm.horas/_xlpm.capacidad,"")))</f>
        <v/>
      </c>
      <c r="Q232" s="34">
        <f>_xlfn.LET(_xlpm.horas,K232,_xlpm.feriados,IF($H232="CO",FER_CO,FER_EC),_xlpm.capacidad,NETWORKDAYS(K$3,K$4,_xlpm.feriados)*INDEX(Consultores!$C$6:$C$65,MATCH($A232,Consultores!$A$6:$A$65,0)),IF(_xlpm.horas=0,"",IFERROR(_xlpm.horas/_xlpm.capacidad,"")))</f>
        <v/>
      </c>
      <c r="R232" s="34">
        <f>_xlfn.LET(_xlpm.horas,L232,_xlpm.feriados,IF($H232="CO",FER_CO,FER_EC),_xlpm.capacidad,NETWORKDAYS(L$3,L$4,_xlpm.feriados)*INDEX(Consultores!$C$6:$C$65,MATCH($A232,Consultores!$A$6:$A$65,0)),IF(_xlpm.horas=0,"",IFERROR(_xlpm.horas/_xlpm.capacidad,"")))</f>
        <v/>
      </c>
      <c r="S232" s="34">
        <f>_xlfn.LET(_xlpm.horas,M232,_xlpm.feriados,IF($H232="CO",FER_CO,FER_EC),_xlpm.capacidad,NETWORKDAYS(M$3,M$4,_xlpm.feriados)*INDEX(Consultores!$C$6:$C$65,MATCH($A232,Consultores!$A$6:$A$65,0)),IF(_xlpm.horas=0,"",IFERROR(_xlpm.horas/_xlpm.capacidad,"")))</f>
        <v/>
      </c>
      <c r="T232" s="34">
        <f>_xlfn.LET(_xlpm.horas,N232,_xlpm.feriados,IF($H232="CO",FER_CO,FER_EC),_xlpm.capacidad,NETWORKDAYS(N$3,N$4,_xlpm.feriados)*INDEX(Consultores!$C$6:$C$65,MATCH($A232,Consultores!$A$6:$A$65,0)),IF(_xlpm.horas=0,"",IFERROR(_xlpm.horas/_xlpm.capacidad,"")))</f>
        <v/>
      </c>
      <c r="U232" s="34">
        <f>_xlfn.LET(_xlpm.horas,O232,_xlpm.feriados,IF($H232="CO",FER_CO,FER_EC),_xlpm.capacidad,NETWORKDAYS(O$3,O$4,_xlpm.feriados)*INDEX(Consultores!$C$6:$C$65,MATCH($A232,Consultores!$A$6:$A$65,0)),IF(_xlpm.horas=0,"",IFERROR(_xlpm.horas/_xlpm.capacidad,"")))</f>
        <v/>
      </c>
    </row>
    <row r="233">
      <c r="A233" s="25" t="n"/>
      <c r="B233" s="25" t="n"/>
      <c r="C233" s="25" t="n"/>
      <c r="D233" s="30" t="n"/>
      <c r="E233" s="30" t="n"/>
      <c r="F233" s="26" t="n"/>
      <c r="G233" s="25" t="n"/>
      <c r="H233" s="31">
        <f>IF($A233="","",IFERROR(INDEX(Consultores!$B$6:$B$65,MATCH($A233,Consultores!$A$6:$A$65,0)),"No existe"))</f>
        <v/>
      </c>
      <c r="I233" s="32">
        <f>IF($F233="",0,$F233/5)</f>
        <v/>
      </c>
      <c r="J233" s="33">
        <f>_xlfn.LET(_xlpm.inicio,MAX($D233,J$3),_xlpm.fin,MIN($E233,J$4),_xlpm.feriados,IF($H233="CO",FER_CO,FER_EC),_xlpm.dias,IF(_xlpm.inicio&gt;_xlpm.fin,0,NETWORKDAYS(_xlpm.inicio,_xlpm.fin,_xlpm.feriados)),_xlpm.factor,IF($G233="Probable",IF(Parametros!$B$6="Sí",1,0),1),IF(OR($A233="",$D233="",$E233=""),0,_xlpm.dias*$I233*_xlpm.factor))</f>
        <v/>
      </c>
      <c r="K233" s="33">
        <f>_xlfn.LET(_xlpm.inicio,MAX($D233,K$3),_xlpm.fin,MIN($E233,K$4),_xlpm.feriados,IF($H233="CO",FER_CO,FER_EC),_xlpm.dias,IF(_xlpm.inicio&gt;_xlpm.fin,0,NETWORKDAYS(_xlpm.inicio,_xlpm.fin,_xlpm.feriados)),_xlpm.factor,IF($G233="Probable",IF(Parametros!$B$6="Sí",1,0),1),IF(OR($A233="",$D233="",$E233=""),0,_xlpm.dias*$I233*_xlpm.factor))</f>
        <v/>
      </c>
      <c r="L233" s="33">
        <f>_xlfn.LET(_xlpm.inicio,MAX($D233,L$3),_xlpm.fin,MIN($E233,L$4),_xlpm.feriados,IF($H233="CO",FER_CO,FER_EC),_xlpm.dias,IF(_xlpm.inicio&gt;_xlpm.fin,0,NETWORKDAYS(_xlpm.inicio,_xlpm.fin,_xlpm.feriados)),_xlpm.factor,IF($G233="Probable",IF(Parametros!$B$6="Sí",1,0),1),IF(OR($A233="",$D233="",$E233=""),0,_xlpm.dias*$I233*_xlpm.factor))</f>
        <v/>
      </c>
      <c r="M233" s="33">
        <f>_xlfn.LET(_xlpm.inicio,MAX($D233,M$3),_xlpm.fin,MIN($E233,M$4),_xlpm.feriados,IF($H233="CO",FER_CO,FER_EC),_xlpm.dias,IF(_xlpm.inicio&gt;_xlpm.fin,0,NETWORKDAYS(_xlpm.inicio,_xlpm.fin,_xlpm.feriados)),_xlpm.factor,IF($G233="Probable",IF(Parametros!$B$6="Sí",1,0),1),IF(OR($A233="",$D233="",$E233=""),0,_xlpm.dias*$I233*_xlpm.factor))</f>
        <v/>
      </c>
      <c r="N233" s="33">
        <f>_xlfn.LET(_xlpm.inicio,MAX($D233,N$3),_xlpm.fin,MIN($E233,N$4),_xlpm.feriados,IF($H233="CO",FER_CO,FER_EC),_xlpm.dias,IF(_xlpm.inicio&gt;_xlpm.fin,0,NETWORKDAYS(_xlpm.inicio,_xlpm.fin,_xlpm.feriados)),_xlpm.factor,IF($G233="Probable",IF(Parametros!$B$6="Sí",1,0),1),IF(OR($A233="",$D233="",$E233=""),0,_xlpm.dias*$I233*_xlpm.factor))</f>
        <v/>
      </c>
      <c r="O233" s="33">
        <f>_xlfn.LET(_xlpm.inicio,MAX($D233,O$3),_xlpm.fin,MIN($E233,O$4),_xlpm.feriados,IF($H233="CO",FER_CO,FER_EC),_xlpm.dias,IF(_xlpm.inicio&gt;_xlpm.fin,0,NETWORKDAYS(_xlpm.inicio,_xlpm.fin,_xlpm.feriados)),_xlpm.factor,IF($G233="Probable",IF(Parametros!$B$6="Sí",1,0),1),IF(OR($A233="",$D233="",$E233=""),0,_xlpm.dias*$I233*_xlpm.factor))</f>
        <v/>
      </c>
      <c r="P233" s="34">
        <f>_xlfn.LET(_xlpm.horas,J233,_xlpm.feriados,IF($H233="CO",FER_CO,FER_EC),_xlpm.capacidad,NETWORKDAYS(J$3,J$4,_xlpm.feriados)*INDEX(Consultores!$C$6:$C$65,MATCH($A233,Consultores!$A$6:$A$65,0)),IF(_xlpm.horas=0,"",IFERROR(_xlpm.horas/_xlpm.capacidad,"")))</f>
        <v/>
      </c>
      <c r="Q233" s="34">
        <f>_xlfn.LET(_xlpm.horas,K233,_xlpm.feriados,IF($H233="CO",FER_CO,FER_EC),_xlpm.capacidad,NETWORKDAYS(K$3,K$4,_xlpm.feriados)*INDEX(Consultores!$C$6:$C$65,MATCH($A233,Consultores!$A$6:$A$65,0)),IF(_xlpm.horas=0,"",IFERROR(_xlpm.horas/_xlpm.capacidad,"")))</f>
        <v/>
      </c>
      <c r="R233" s="34">
        <f>_xlfn.LET(_xlpm.horas,L233,_xlpm.feriados,IF($H233="CO",FER_CO,FER_EC),_xlpm.capacidad,NETWORKDAYS(L$3,L$4,_xlpm.feriados)*INDEX(Consultores!$C$6:$C$65,MATCH($A233,Consultores!$A$6:$A$65,0)),IF(_xlpm.horas=0,"",IFERROR(_xlpm.horas/_xlpm.capacidad,"")))</f>
        <v/>
      </c>
      <c r="S233" s="34">
        <f>_xlfn.LET(_xlpm.horas,M233,_xlpm.feriados,IF($H233="CO",FER_CO,FER_EC),_xlpm.capacidad,NETWORKDAYS(M$3,M$4,_xlpm.feriados)*INDEX(Consultores!$C$6:$C$65,MATCH($A233,Consultores!$A$6:$A$65,0)),IF(_xlpm.horas=0,"",IFERROR(_xlpm.horas/_xlpm.capacidad,"")))</f>
        <v/>
      </c>
      <c r="T233" s="34">
        <f>_xlfn.LET(_xlpm.horas,N233,_xlpm.feriados,IF($H233="CO",FER_CO,FER_EC),_xlpm.capacidad,NETWORKDAYS(N$3,N$4,_xlpm.feriados)*INDEX(Consultores!$C$6:$C$65,MATCH($A233,Consultores!$A$6:$A$65,0)),IF(_xlpm.horas=0,"",IFERROR(_xlpm.horas/_xlpm.capacidad,"")))</f>
        <v/>
      </c>
      <c r="U233" s="34">
        <f>_xlfn.LET(_xlpm.horas,O233,_xlpm.feriados,IF($H233="CO",FER_CO,FER_EC),_xlpm.capacidad,NETWORKDAYS(O$3,O$4,_xlpm.feriados)*INDEX(Consultores!$C$6:$C$65,MATCH($A233,Consultores!$A$6:$A$65,0)),IF(_xlpm.horas=0,"",IFERROR(_xlpm.horas/_xlpm.capacidad,"")))</f>
        <v/>
      </c>
    </row>
    <row r="234">
      <c r="A234" s="25" t="n"/>
      <c r="B234" s="25" t="n"/>
      <c r="C234" s="25" t="n"/>
      <c r="D234" s="30" t="n"/>
      <c r="E234" s="30" t="n"/>
      <c r="F234" s="26" t="n"/>
      <c r="G234" s="25" t="n"/>
      <c r="H234" s="31">
        <f>IF($A234="","",IFERROR(INDEX(Consultores!$B$6:$B$65,MATCH($A234,Consultores!$A$6:$A$65,0)),"No existe"))</f>
        <v/>
      </c>
      <c r="I234" s="32">
        <f>IF($F234="",0,$F234/5)</f>
        <v/>
      </c>
      <c r="J234" s="33">
        <f>_xlfn.LET(_xlpm.inicio,MAX($D234,J$3),_xlpm.fin,MIN($E234,J$4),_xlpm.feriados,IF($H234="CO",FER_CO,FER_EC),_xlpm.dias,IF(_xlpm.inicio&gt;_xlpm.fin,0,NETWORKDAYS(_xlpm.inicio,_xlpm.fin,_xlpm.feriados)),_xlpm.factor,IF($G234="Probable",IF(Parametros!$B$6="Sí",1,0),1),IF(OR($A234="",$D234="",$E234=""),0,_xlpm.dias*$I234*_xlpm.factor))</f>
        <v/>
      </c>
      <c r="K234" s="33">
        <f>_xlfn.LET(_xlpm.inicio,MAX($D234,K$3),_xlpm.fin,MIN($E234,K$4),_xlpm.feriados,IF($H234="CO",FER_CO,FER_EC),_xlpm.dias,IF(_xlpm.inicio&gt;_xlpm.fin,0,NETWORKDAYS(_xlpm.inicio,_xlpm.fin,_xlpm.feriados)),_xlpm.factor,IF($G234="Probable",IF(Parametros!$B$6="Sí",1,0),1),IF(OR($A234="",$D234="",$E234=""),0,_xlpm.dias*$I234*_xlpm.factor))</f>
        <v/>
      </c>
      <c r="L234" s="33">
        <f>_xlfn.LET(_xlpm.inicio,MAX($D234,L$3),_xlpm.fin,MIN($E234,L$4),_xlpm.feriados,IF($H234="CO",FER_CO,FER_EC),_xlpm.dias,IF(_xlpm.inicio&gt;_xlpm.fin,0,NETWORKDAYS(_xlpm.inicio,_xlpm.fin,_xlpm.feriados)),_xlpm.factor,IF($G234="Probable",IF(Parametros!$B$6="Sí",1,0),1),IF(OR($A234="",$D234="",$E234=""),0,_xlpm.dias*$I234*_xlpm.factor))</f>
        <v/>
      </c>
      <c r="M234" s="33">
        <f>_xlfn.LET(_xlpm.inicio,MAX($D234,M$3),_xlpm.fin,MIN($E234,M$4),_xlpm.feriados,IF($H234="CO",FER_CO,FER_EC),_xlpm.dias,IF(_xlpm.inicio&gt;_xlpm.fin,0,NETWORKDAYS(_xlpm.inicio,_xlpm.fin,_xlpm.feriados)),_xlpm.factor,IF($G234="Probable",IF(Parametros!$B$6="Sí",1,0),1),IF(OR($A234="",$D234="",$E234=""),0,_xlpm.dias*$I234*_xlpm.factor))</f>
        <v/>
      </c>
      <c r="N234" s="33">
        <f>_xlfn.LET(_xlpm.inicio,MAX($D234,N$3),_xlpm.fin,MIN($E234,N$4),_xlpm.feriados,IF($H234="CO",FER_CO,FER_EC),_xlpm.dias,IF(_xlpm.inicio&gt;_xlpm.fin,0,NETWORKDAYS(_xlpm.inicio,_xlpm.fin,_xlpm.feriados)),_xlpm.factor,IF($G234="Probable",IF(Parametros!$B$6="Sí",1,0),1),IF(OR($A234="",$D234="",$E234=""),0,_xlpm.dias*$I234*_xlpm.factor))</f>
        <v/>
      </c>
      <c r="O234" s="33">
        <f>_xlfn.LET(_xlpm.inicio,MAX($D234,O$3),_xlpm.fin,MIN($E234,O$4),_xlpm.feriados,IF($H234="CO",FER_CO,FER_EC),_xlpm.dias,IF(_xlpm.inicio&gt;_xlpm.fin,0,NETWORKDAYS(_xlpm.inicio,_xlpm.fin,_xlpm.feriados)),_xlpm.factor,IF($G234="Probable",IF(Parametros!$B$6="Sí",1,0),1),IF(OR($A234="",$D234="",$E234=""),0,_xlpm.dias*$I234*_xlpm.factor))</f>
        <v/>
      </c>
      <c r="P234" s="34">
        <f>_xlfn.LET(_xlpm.horas,J234,_xlpm.feriados,IF($H234="CO",FER_CO,FER_EC),_xlpm.capacidad,NETWORKDAYS(J$3,J$4,_xlpm.feriados)*INDEX(Consultores!$C$6:$C$65,MATCH($A234,Consultores!$A$6:$A$65,0)),IF(_xlpm.horas=0,"",IFERROR(_xlpm.horas/_xlpm.capacidad,"")))</f>
        <v/>
      </c>
      <c r="Q234" s="34">
        <f>_xlfn.LET(_xlpm.horas,K234,_xlpm.feriados,IF($H234="CO",FER_CO,FER_EC),_xlpm.capacidad,NETWORKDAYS(K$3,K$4,_xlpm.feriados)*INDEX(Consultores!$C$6:$C$65,MATCH($A234,Consultores!$A$6:$A$65,0)),IF(_xlpm.horas=0,"",IFERROR(_xlpm.horas/_xlpm.capacidad,"")))</f>
        <v/>
      </c>
      <c r="R234" s="34">
        <f>_xlfn.LET(_xlpm.horas,L234,_xlpm.feriados,IF($H234="CO",FER_CO,FER_EC),_xlpm.capacidad,NETWORKDAYS(L$3,L$4,_xlpm.feriados)*INDEX(Consultores!$C$6:$C$65,MATCH($A234,Consultores!$A$6:$A$65,0)),IF(_xlpm.horas=0,"",IFERROR(_xlpm.horas/_xlpm.capacidad,"")))</f>
        <v/>
      </c>
      <c r="S234" s="34">
        <f>_xlfn.LET(_xlpm.horas,M234,_xlpm.feriados,IF($H234="CO",FER_CO,FER_EC),_xlpm.capacidad,NETWORKDAYS(M$3,M$4,_xlpm.feriados)*INDEX(Consultores!$C$6:$C$65,MATCH($A234,Consultores!$A$6:$A$65,0)),IF(_xlpm.horas=0,"",IFERROR(_xlpm.horas/_xlpm.capacidad,"")))</f>
        <v/>
      </c>
      <c r="T234" s="34">
        <f>_xlfn.LET(_xlpm.horas,N234,_xlpm.feriados,IF($H234="CO",FER_CO,FER_EC),_xlpm.capacidad,NETWORKDAYS(N$3,N$4,_xlpm.feriados)*INDEX(Consultores!$C$6:$C$65,MATCH($A234,Consultores!$A$6:$A$65,0)),IF(_xlpm.horas=0,"",IFERROR(_xlpm.horas/_xlpm.capacidad,"")))</f>
        <v/>
      </c>
      <c r="U234" s="34">
        <f>_xlfn.LET(_xlpm.horas,O234,_xlpm.feriados,IF($H234="CO",FER_CO,FER_EC),_xlpm.capacidad,NETWORKDAYS(O$3,O$4,_xlpm.feriados)*INDEX(Consultores!$C$6:$C$65,MATCH($A234,Consultores!$A$6:$A$65,0)),IF(_xlpm.horas=0,"",IFERROR(_xlpm.horas/_xlpm.capacidad,"")))</f>
        <v/>
      </c>
    </row>
    <row r="235">
      <c r="A235" s="25" t="n"/>
      <c r="B235" s="25" t="n"/>
      <c r="C235" s="25" t="n"/>
      <c r="D235" s="30" t="n"/>
      <c r="E235" s="30" t="n"/>
      <c r="F235" s="26" t="n"/>
      <c r="G235" s="25" t="n"/>
      <c r="H235" s="31">
        <f>IF($A235="","",IFERROR(INDEX(Consultores!$B$6:$B$65,MATCH($A235,Consultores!$A$6:$A$65,0)),"No existe"))</f>
        <v/>
      </c>
      <c r="I235" s="32">
        <f>IF($F235="",0,$F235/5)</f>
        <v/>
      </c>
      <c r="J235" s="33">
        <f>_xlfn.LET(_xlpm.inicio,MAX($D235,J$3),_xlpm.fin,MIN($E235,J$4),_xlpm.feriados,IF($H235="CO",FER_CO,FER_EC),_xlpm.dias,IF(_xlpm.inicio&gt;_xlpm.fin,0,NETWORKDAYS(_xlpm.inicio,_xlpm.fin,_xlpm.feriados)),_xlpm.factor,IF($G235="Probable",IF(Parametros!$B$6="Sí",1,0),1),IF(OR($A235="",$D235="",$E235=""),0,_xlpm.dias*$I235*_xlpm.factor))</f>
        <v/>
      </c>
      <c r="K235" s="33">
        <f>_xlfn.LET(_xlpm.inicio,MAX($D235,K$3),_xlpm.fin,MIN($E235,K$4),_xlpm.feriados,IF($H235="CO",FER_CO,FER_EC),_xlpm.dias,IF(_xlpm.inicio&gt;_xlpm.fin,0,NETWORKDAYS(_xlpm.inicio,_xlpm.fin,_xlpm.feriados)),_xlpm.factor,IF($G235="Probable",IF(Parametros!$B$6="Sí",1,0),1),IF(OR($A235="",$D235="",$E235=""),0,_xlpm.dias*$I235*_xlpm.factor))</f>
        <v/>
      </c>
      <c r="L235" s="33">
        <f>_xlfn.LET(_xlpm.inicio,MAX($D235,L$3),_xlpm.fin,MIN($E235,L$4),_xlpm.feriados,IF($H235="CO",FER_CO,FER_EC),_xlpm.dias,IF(_xlpm.inicio&gt;_xlpm.fin,0,NETWORKDAYS(_xlpm.inicio,_xlpm.fin,_xlpm.feriados)),_xlpm.factor,IF($G235="Probable",IF(Parametros!$B$6="Sí",1,0),1),IF(OR($A235="",$D235="",$E235=""),0,_xlpm.dias*$I235*_xlpm.factor))</f>
        <v/>
      </c>
      <c r="M235" s="33">
        <f>_xlfn.LET(_xlpm.inicio,MAX($D235,M$3),_xlpm.fin,MIN($E235,M$4),_xlpm.feriados,IF($H235="CO",FER_CO,FER_EC),_xlpm.dias,IF(_xlpm.inicio&gt;_xlpm.fin,0,NETWORKDAYS(_xlpm.inicio,_xlpm.fin,_xlpm.feriados)),_xlpm.factor,IF($G235="Probable",IF(Parametros!$B$6="Sí",1,0),1),IF(OR($A235="",$D235="",$E235=""),0,_xlpm.dias*$I235*_xlpm.factor))</f>
        <v/>
      </c>
      <c r="N235" s="33">
        <f>_xlfn.LET(_xlpm.inicio,MAX($D235,N$3),_xlpm.fin,MIN($E235,N$4),_xlpm.feriados,IF($H235="CO",FER_CO,FER_EC),_xlpm.dias,IF(_xlpm.inicio&gt;_xlpm.fin,0,NETWORKDAYS(_xlpm.inicio,_xlpm.fin,_xlpm.feriados)),_xlpm.factor,IF($G235="Probable",IF(Parametros!$B$6="Sí",1,0),1),IF(OR($A235="",$D235="",$E235=""),0,_xlpm.dias*$I235*_xlpm.factor))</f>
        <v/>
      </c>
      <c r="O235" s="33">
        <f>_xlfn.LET(_xlpm.inicio,MAX($D235,O$3),_xlpm.fin,MIN($E235,O$4),_xlpm.feriados,IF($H235="CO",FER_CO,FER_EC),_xlpm.dias,IF(_xlpm.inicio&gt;_xlpm.fin,0,NETWORKDAYS(_xlpm.inicio,_xlpm.fin,_xlpm.feriados)),_xlpm.factor,IF($G235="Probable",IF(Parametros!$B$6="Sí",1,0),1),IF(OR($A235="",$D235="",$E235=""),0,_xlpm.dias*$I235*_xlpm.factor))</f>
        <v/>
      </c>
      <c r="P235" s="34">
        <f>_xlfn.LET(_xlpm.horas,J235,_xlpm.feriados,IF($H235="CO",FER_CO,FER_EC),_xlpm.capacidad,NETWORKDAYS(J$3,J$4,_xlpm.feriados)*INDEX(Consultores!$C$6:$C$65,MATCH($A235,Consultores!$A$6:$A$65,0)),IF(_xlpm.horas=0,"",IFERROR(_xlpm.horas/_xlpm.capacidad,"")))</f>
        <v/>
      </c>
      <c r="Q235" s="34">
        <f>_xlfn.LET(_xlpm.horas,K235,_xlpm.feriados,IF($H235="CO",FER_CO,FER_EC),_xlpm.capacidad,NETWORKDAYS(K$3,K$4,_xlpm.feriados)*INDEX(Consultores!$C$6:$C$65,MATCH($A235,Consultores!$A$6:$A$65,0)),IF(_xlpm.horas=0,"",IFERROR(_xlpm.horas/_xlpm.capacidad,"")))</f>
        <v/>
      </c>
      <c r="R235" s="34">
        <f>_xlfn.LET(_xlpm.horas,L235,_xlpm.feriados,IF($H235="CO",FER_CO,FER_EC),_xlpm.capacidad,NETWORKDAYS(L$3,L$4,_xlpm.feriados)*INDEX(Consultores!$C$6:$C$65,MATCH($A235,Consultores!$A$6:$A$65,0)),IF(_xlpm.horas=0,"",IFERROR(_xlpm.horas/_xlpm.capacidad,"")))</f>
        <v/>
      </c>
      <c r="S235" s="34">
        <f>_xlfn.LET(_xlpm.horas,M235,_xlpm.feriados,IF($H235="CO",FER_CO,FER_EC),_xlpm.capacidad,NETWORKDAYS(M$3,M$4,_xlpm.feriados)*INDEX(Consultores!$C$6:$C$65,MATCH($A235,Consultores!$A$6:$A$65,0)),IF(_xlpm.horas=0,"",IFERROR(_xlpm.horas/_xlpm.capacidad,"")))</f>
        <v/>
      </c>
      <c r="T235" s="34">
        <f>_xlfn.LET(_xlpm.horas,N235,_xlpm.feriados,IF($H235="CO",FER_CO,FER_EC),_xlpm.capacidad,NETWORKDAYS(N$3,N$4,_xlpm.feriados)*INDEX(Consultores!$C$6:$C$65,MATCH($A235,Consultores!$A$6:$A$65,0)),IF(_xlpm.horas=0,"",IFERROR(_xlpm.horas/_xlpm.capacidad,"")))</f>
        <v/>
      </c>
      <c r="U235" s="34">
        <f>_xlfn.LET(_xlpm.horas,O235,_xlpm.feriados,IF($H235="CO",FER_CO,FER_EC),_xlpm.capacidad,NETWORKDAYS(O$3,O$4,_xlpm.feriados)*INDEX(Consultores!$C$6:$C$65,MATCH($A235,Consultores!$A$6:$A$65,0)),IF(_xlpm.horas=0,"",IFERROR(_xlpm.horas/_xlpm.capacidad,"")))</f>
        <v/>
      </c>
    </row>
    <row r="236">
      <c r="A236" s="25" t="n"/>
      <c r="B236" s="25" t="n"/>
      <c r="C236" s="25" t="n"/>
      <c r="D236" s="30" t="n"/>
      <c r="E236" s="30" t="n"/>
      <c r="F236" s="26" t="n"/>
      <c r="G236" s="25" t="n"/>
      <c r="H236" s="31">
        <f>IF($A236="","",IFERROR(INDEX(Consultores!$B$6:$B$65,MATCH($A236,Consultores!$A$6:$A$65,0)),"No existe"))</f>
        <v/>
      </c>
      <c r="I236" s="32">
        <f>IF($F236="",0,$F236/5)</f>
        <v/>
      </c>
      <c r="J236" s="33">
        <f>_xlfn.LET(_xlpm.inicio,MAX($D236,J$3),_xlpm.fin,MIN($E236,J$4),_xlpm.feriados,IF($H236="CO",FER_CO,FER_EC),_xlpm.dias,IF(_xlpm.inicio&gt;_xlpm.fin,0,NETWORKDAYS(_xlpm.inicio,_xlpm.fin,_xlpm.feriados)),_xlpm.factor,IF($G236="Probable",IF(Parametros!$B$6="Sí",1,0),1),IF(OR($A236="",$D236="",$E236=""),0,_xlpm.dias*$I236*_xlpm.factor))</f>
        <v/>
      </c>
      <c r="K236" s="33">
        <f>_xlfn.LET(_xlpm.inicio,MAX($D236,K$3),_xlpm.fin,MIN($E236,K$4),_xlpm.feriados,IF($H236="CO",FER_CO,FER_EC),_xlpm.dias,IF(_xlpm.inicio&gt;_xlpm.fin,0,NETWORKDAYS(_xlpm.inicio,_xlpm.fin,_xlpm.feriados)),_xlpm.factor,IF($G236="Probable",IF(Parametros!$B$6="Sí",1,0),1),IF(OR($A236="",$D236="",$E236=""),0,_xlpm.dias*$I236*_xlpm.factor))</f>
        <v/>
      </c>
      <c r="L236" s="33">
        <f>_xlfn.LET(_xlpm.inicio,MAX($D236,L$3),_xlpm.fin,MIN($E236,L$4),_xlpm.feriados,IF($H236="CO",FER_CO,FER_EC),_xlpm.dias,IF(_xlpm.inicio&gt;_xlpm.fin,0,NETWORKDAYS(_xlpm.inicio,_xlpm.fin,_xlpm.feriados)),_xlpm.factor,IF($G236="Probable",IF(Parametros!$B$6="Sí",1,0),1),IF(OR($A236="",$D236="",$E236=""),0,_xlpm.dias*$I236*_xlpm.factor))</f>
        <v/>
      </c>
      <c r="M236" s="33">
        <f>_xlfn.LET(_xlpm.inicio,MAX($D236,M$3),_xlpm.fin,MIN($E236,M$4),_xlpm.feriados,IF($H236="CO",FER_CO,FER_EC),_xlpm.dias,IF(_xlpm.inicio&gt;_xlpm.fin,0,NETWORKDAYS(_xlpm.inicio,_xlpm.fin,_xlpm.feriados)),_xlpm.factor,IF($G236="Probable",IF(Parametros!$B$6="Sí",1,0),1),IF(OR($A236="",$D236="",$E236=""),0,_xlpm.dias*$I236*_xlpm.factor))</f>
        <v/>
      </c>
      <c r="N236" s="33">
        <f>_xlfn.LET(_xlpm.inicio,MAX($D236,N$3),_xlpm.fin,MIN($E236,N$4),_xlpm.feriados,IF($H236="CO",FER_CO,FER_EC),_xlpm.dias,IF(_xlpm.inicio&gt;_xlpm.fin,0,NETWORKDAYS(_xlpm.inicio,_xlpm.fin,_xlpm.feriados)),_xlpm.factor,IF($G236="Probable",IF(Parametros!$B$6="Sí",1,0),1),IF(OR($A236="",$D236="",$E236=""),0,_xlpm.dias*$I236*_xlpm.factor))</f>
        <v/>
      </c>
      <c r="O236" s="33">
        <f>_xlfn.LET(_xlpm.inicio,MAX($D236,O$3),_xlpm.fin,MIN($E236,O$4),_xlpm.feriados,IF($H236="CO",FER_CO,FER_EC),_xlpm.dias,IF(_xlpm.inicio&gt;_xlpm.fin,0,NETWORKDAYS(_xlpm.inicio,_xlpm.fin,_xlpm.feriados)),_xlpm.factor,IF($G236="Probable",IF(Parametros!$B$6="Sí",1,0),1),IF(OR($A236="",$D236="",$E236=""),0,_xlpm.dias*$I236*_xlpm.factor))</f>
        <v/>
      </c>
      <c r="P236" s="34">
        <f>_xlfn.LET(_xlpm.horas,J236,_xlpm.feriados,IF($H236="CO",FER_CO,FER_EC),_xlpm.capacidad,NETWORKDAYS(J$3,J$4,_xlpm.feriados)*INDEX(Consultores!$C$6:$C$65,MATCH($A236,Consultores!$A$6:$A$65,0)),IF(_xlpm.horas=0,"",IFERROR(_xlpm.horas/_xlpm.capacidad,"")))</f>
        <v/>
      </c>
      <c r="Q236" s="34">
        <f>_xlfn.LET(_xlpm.horas,K236,_xlpm.feriados,IF($H236="CO",FER_CO,FER_EC),_xlpm.capacidad,NETWORKDAYS(K$3,K$4,_xlpm.feriados)*INDEX(Consultores!$C$6:$C$65,MATCH($A236,Consultores!$A$6:$A$65,0)),IF(_xlpm.horas=0,"",IFERROR(_xlpm.horas/_xlpm.capacidad,"")))</f>
        <v/>
      </c>
      <c r="R236" s="34">
        <f>_xlfn.LET(_xlpm.horas,L236,_xlpm.feriados,IF($H236="CO",FER_CO,FER_EC),_xlpm.capacidad,NETWORKDAYS(L$3,L$4,_xlpm.feriados)*INDEX(Consultores!$C$6:$C$65,MATCH($A236,Consultores!$A$6:$A$65,0)),IF(_xlpm.horas=0,"",IFERROR(_xlpm.horas/_xlpm.capacidad,"")))</f>
        <v/>
      </c>
      <c r="S236" s="34">
        <f>_xlfn.LET(_xlpm.horas,M236,_xlpm.feriados,IF($H236="CO",FER_CO,FER_EC),_xlpm.capacidad,NETWORKDAYS(M$3,M$4,_xlpm.feriados)*INDEX(Consultores!$C$6:$C$65,MATCH($A236,Consultores!$A$6:$A$65,0)),IF(_xlpm.horas=0,"",IFERROR(_xlpm.horas/_xlpm.capacidad,"")))</f>
        <v/>
      </c>
      <c r="T236" s="34">
        <f>_xlfn.LET(_xlpm.horas,N236,_xlpm.feriados,IF($H236="CO",FER_CO,FER_EC),_xlpm.capacidad,NETWORKDAYS(N$3,N$4,_xlpm.feriados)*INDEX(Consultores!$C$6:$C$65,MATCH($A236,Consultores!$A$6:$A$65,0)),IF(_xlpm.horas=0,"",IFERROR(_xlpm.horas/_xlpm.capacidad,"")))</f>
        <v/>
      </c>
      <c r="U236" s="34">
        <f>_xlfn.LET(_xlpm.horas,O236,_xlpm.feriados,IF($H236="CO",FER_CO,FER_EC),_xlpm.capacidad,NETWORKDAYS(O$3,O$4,_xlpm.feriados)*INDEX(Consultores!$C$6:$C$65,MATCH($A236,Consultores!$A$6:$A$65,0)),IF(_xlpm.horas=0,"",IFERROR(_xlpm.horas/_xlpm.capacidad,"")))</f>
        <v/>
      </c>
    </row>
    <row r="237">
      <c r="A237" s="25" t="n"/>
      <c r="B237" s="25" t="n"/>
      <c r="C237" s="25" t="n"/>
      <c r="D237" s="30" t="n"/>
      <c r="E237" s="30" t="n"/>
      <c r="F237" s="26" t="n"/>
      <c r="G237" s="25" t="n"/>
      <c r="H237" s="31">
        <f>IF($A237="","",IFERROR(INDEX(Consultores!$B$6:$B$65,MATCH($A237,Consultores!$A$6:$A$65,0)),"No existe"))</f>
        <v/>
      </c>
      <c r="I237" s="32">
        <f>IF($F237="",0,$F237/5)</f>
        <v/>
      </c>
      <c r="J237" s="33">
        <f>_xlfn.LET(_xlpm.inicio,MAX($D237,J$3),_xlpm.fin,MIN($E237,J$4),_xlpm.feriados,IF($H237="CO",FER_CO,FER_EC),_xlpm.dias,IF(_xlpm.inicio&gt;_xlpm.fin,0,NETWORKDAYS(_xlpm.inicio,_xlpm.fin,_xlpm.feriados)),_xlpm.factor,IF($G237="Probable",IF(Parametros!$B$6="Sí",1,0),1),IF(OR($A237="",$D237="",$E237=""),0,_xlpm.dias*$I237*_xlpm.factor))</f>
        <v/>
      </c>
      <c r="K237" s="33">
        <f>_xlfn.LET(_xlpm.inicio,MAX($D237,K$3),_xlpm.fin,MIN($E237,K$4),_xlpm.feriados,IF($H237="CO",FER_CO,FER_EC),_xlpm.dias,IF(_xlpm.inicio&gt;_xlpm.fin,0,NETWORKDAYS(_xlpm.inicio,_xlpm.fin,_xlpm.feriados)),_xlpm.factor,IF($G237="Probable",IF(Parametros!$B$6="Sí",1,0),1),IF(OR($A237="",$D237="",$E237=""),0,_xlpm.dias*$I237*_xlpm.factor))</f>
        <v/>
      </c>
      <c r="L237" s="33">
        <f>_xlfn.LET(_xlpm.inicio,MAX($D237,L$3),_xlpm.fin,MIN($E237,L$4),_xlpm.feriados,IF($H237="CO",FER_CO,FER_EC),_xlpm.dias,IF(_xlpm.inicio&gt;_xlpm.fin,0,NETWORKDAYS(_xlpm.inicio,_xlpm.fin,_xlpm.feriados)),_xlpm.factor,IF($G237="Probable",IF(Parametros!$B$6="Sí",1,0),1),IF(OR($A237="",$D237="",$E237=""),0,_xlpm.dias*$I237*_xlpm.factor))</f>
        <v/>
      </c>
      <c r="M237" s="33">
        <f>_xlfn.LET(_xlpm.inicio,MAX($D237,M$3),_xlpm.fin,MIN($E237,M$4),_xlpm.feriados,IF($H237="CO",FER_CO,FER_EC),_xlpm.dias,IF(_xlpm.inicio&gt;_xlpm.fin,0,NETWORKDAYS(_xlpm.inicio,_xlpm.fin,_xlpm.feriados)),_xlpm.factor,IF($G237="Probable",IF(Parametros!$B$6="Sí",1,0),1),IF(OR($A237="",$D237="",$E237=""),0,_xlpm.dias*$I237*_xlpm.factor))</f>
        <v/>
      </c>
      <c r="N237" s="33">
        <f>_xlfn.LET(_xlpm.inicio,MAX($D237,N$3),_xlpm.fin,MIN($E237,N$4),_xlpm.feriados,IF($H237="CO",FER_CO,FER_EC),_xlpm.dias,IF(_xlpm.inicio&gt;_xlpm.fin,0,NETWORKDAYS(_xlpm.inicio,_xlpm.fin,_xlpm.feriados)),_xlpm.factor,IF($G237="Probable",IF(Parametros!$B$6="Sí",1,0),1),IF(OR($A237="",$D237="",$E237=""),0,_xlpm.dias*$I237*_xlpm.factor))</f>
        <v/>
      </c>
      <c r="O237" s="33">
        <f>_xlfn.LET(_xlpm.inicio,MAX($D237,O$3),_xlpm.fin,MIN($E237,O$4),_xlpm.feriados,IF($H237="CO",FER_CO,FER_EC),_xlpm.dias,IF(_xlpm.inicio&gt;_xlpm.fin,0,NETWORKDAYS(_xlpm.inicio,_xlpm.fin,_xlpm.feriados)),_xlpm.factor,IF($G237="Probable",IF(Parametros!$B$6="Sí",1,0),1),IF(OR($A237="",$D237="",$E237=""),0,_xlpm.dias*$I237*_xlpm.factor))</f>
        <v/>
      </c>
      <c r="P237" s="34">
        <f>_xlfn.LET(_xlpm.horas,J237,_xlpm.feriados,IF($H237="CO",FER_CO,FER_EC),_xlpm.capacidad,NETWORKDAYS(J$3,J$4,_xlpm.feriados)*INDEX(Consultores!$C$6:$C$65,MATCH($A237,Consultores!$A$6:$A$65,0)),IF(_xlpm.horas=0,"",IFERROR(_xlpm.horas/_xlpm.capacidad,"")))</f>
        <v/>
      </c>
      <c r="Q237" s="34">
        <f>_xlfn.LET(_xlpm.horas,K237,_xlpm.feriados,IF($H237="CO",FER_CO,FER_EC),_xlpm.capacidad,NETWORKDAYS(K$3,K$4,_xlpm.feriados)*INDEX(Consultores!$C$6:$C$65,MATCH($A237,Consultores!$A$6:$A$65,0)),IF(_xlpm.horas=0,"",IFERROR(_xlpm.horas/_xlpm.capacidad,"")))</f>
        <v/>
      </c>
      <c r="R237" s="34">
        <f>_xlfn.LET(_xlpm.horas,L237,_xlpm.feriados,IF($H237="CO",FER_CO,FER_EC),_xlpm.capacidad,NETWORKDAYS(L$3,L$4,_xlpm.feriados)*INDEX(Consultores!$C$6:$C$65,MATCH($A237,Consultores!$A$6:$A$65,0)),IF(_xlpm.horas=0,"",IFERROR(_xlpm.horas/_xlpm.capacidad,"")))</f>
        <v/>
      </c>
      <c r="S237" s="34">
        <f>_xlfn.LET(_xlpm.horas,M237,_xlpm.feriados,IF($H237="CO",FER_CO,FER_EC),_xlpm.capacidad,NETWORKDAYS(M$3,M$4,_xlpm.feriados)*INDEX(Consultores!$C$6:$C$65,MATCH($A237,Consultores!$A$6:$A$65,0)),IF(_xlpm.horas=0,"",IFERROR(_xlpm.horas/_xlpm.capacidad,"")))</f>
        <v/>
      </c>
      <c r="T237" s="34">
        <f>_xlfn.LET(_xlpm.horas,N237,_xlpm.feriados,IF($H237="CO",FER_CO,FER_EC),_xlpm.capacidad,NETWORKDAYS(N$3,N$4,_xlpm.feriados)*INDEX(Consultores!$C$6:$C$65,MATCH($A237,Consultores!$A$6:$A$65,0)),IF(_xlpm.horas=0,"",IFERROR(_xlpm.horas/_xlpm.capacidad,"")))</f>
        <v/>
      </c>
      <c r="U237" s="34">
        <f>_xlfn.LET(_xlpm.horas,O237,_xlpm.feriados,IF($H237="CO",FER_CO,FER_EC),_xlpm.capacidad,NETWORKDAYS(O$3,O$4,_xlpm.feriados)*INDEX(Consultores!$C$6:$C$65,MATCH($A237,Consultores!$A$6:$A$65,0)),IF(_xlpm.horas=0,"",IFERROR(_xlpm.horas/_xlpm.capacidad,"")))</f>
        <v/>
      </c>
    </row>
    <row r="238">
      <c r="A238" s="25" t="n"/>
      <c r="B238" s="25" t="n"/>
      <c r="C238" s="25" t="n"/>
      <c r="D238" s="30" t="n"/>
      <c r="E238" s="30" t="n"/>
      <c r="F238" s="26" t="n"/>
      <c r="G238" s="25" t="n"/>
      <c r="H238" s="31">
        <f>IF($A238="","",IFERROR(INDEX(Consultores!$B$6:$B$65,MATCH($A238,Consultores!$A$6:$A$65,0)),"No existe"))</f>
        <v/>
      </c>
      <c r="I238" s="32">
        <f>IF($F238="",0,$F238/5)</f>
        <v/>
      </c>
      <c r="J238" s="33">
        <f>_xlfn.LET(_xlpm.inicio,MAX($D238,J$3),_xlpm.fin,MIN($E238,J$4),_xlpm.feriados,IF($H238="CO",FER_CO,FER_EC),_xlpm.dias,IF(_xlpm.inicio&gt;_xlpm.fin,0,NETWORKDAYS(_xlpm.inicio,_xlpm.fin,_xlpm.feriados)),_xlpm.factor,IF($G238="Probable",IF(Parametros!$B$6="Sí",1,0),1),IF(OR($A238="",$D238="",$E238=""),0,_xlpm.dias*$I238*_xlpm.factor))</f>
        <v/>
      </c>
      <c r="K238" s="33">
        <f>_xlfn.LET(_xlpm.inicio,MAX($D238,K$3),_xlpm.fin,MIN($E238,K$4),_xlpm.feriados,IF($H238="CO",FER_CO,FER_EC),_xlpm.dias,IF(_xlpm.inicio&gt;_xlpm.fin,0,NETWORKDAYS(_xlpm.inicio,_xlpm.fin,_xlpm.feriados)),_xlpm.factor,IF($G238="Probable",IF(Parametros!$B$6="Sí",1,0),1),IF(OR($A238="",$D238="",$E238=""),0,_xlpm.dias*$I238*_xlpm.factor))</f>
        <v/>
      </c>
      <c r="L238" s="33">
        <f>_xlfn.LET(_xlpm.inicio,MAX($D238,L$3),_xlpm.fin,MIN($E238,L$4),_xlpm.feriados,IF($H238="CO",FER_CO,FER_EC),_xlpm.dias,IF(_xlpm.inicio&gt;_xlpm.fin,0,NETWORKDAYS(_xlpm.inicio,_xlpm.fin,_xlpm.feriados)),_xlpm.factor,IF($G238="Probable",IF(Parametros!$B$6="Sí",1,0),1),IF(OR($A238="",$D238="",$E238=""),0,_xlpm.dias*$I238*_xlpm.factor))</f>
        <v/>
      </c>
      <c r="M238" s="33">
        <f>_xlfn.LET(_xlpm.inicio,MAX($D238,M$3),_xlpm.fin,MIN($E238,M$4),_xlpm.feriados,IF($H238="CO",FER_CO,FER_EC),_xlpm.dias,IF(_xlpm.inicio&gt;_xlpm.fin,0,NETWORKDAYS(_xlpm.inicio,_xlpm.fin,_xlpm.feriados)),_xlpm.factor,IF($G238="Probable",IF(Parametros!$B$6="Sí",1,0),1),IF(OR($A238="",$D238="",$E238=""),0,_xlpm.dias*$I238*_xlpm.factor))</f>
        <v/>
      </c>
      <c r="N238" s="33">
        <f>_xlfn.LET(_xlpm.inicio,MAX($D238,N$3),_xlpm.fin,MIN($E238,N$4),_xlpm.feriados,IF($H238="CO",FER_CO,FER_EC),_xlpm.dias,IF(_xlpm.inicio&gt;_xlpm.fin,0,NETWORKDAYS(_xlpm.inicio,_xlpm.fin,_xlpm.feriados)),_xlpm.factor,IF($G238="Probable",IF(Parametros!$B$6="Sí",1,0),1),IF(OR($A238="",$D238="",$E238=""),0,_xlpm.dias*$I238*_xlpm.factor))</f>
        <v/>
      </c>
      <c r="O238" s="33">
        <f>_xlfn.LET(_xlpm.inicio,MAX($D238,O$3),_xlpm.fin,MIN($E238,O$4),_xlpm.feriados,IF($H238="CO",FER_CO,FER_EC),_xlpm.dias,IF(_xlpm.inicio&gt;_xlpm.fin,0,NETWORKDAYS(_xlpm.inicio,_xlpm.fin,_xlpm.feriados)),_xlpm.factor,IF($G238="Probable",IF(Parametros!$B$6="Sí",1,0),1),IF(OR($A238="",$D238="",$E238=""),0,_xlpm.dias*$I238*_xlpm.factor))</f>
        <v/>
      </c>
      <c r="P238" s="34">
        <f>_xlfn.LET(_xlpm.horas,J238,_xlpm.feriados,IF($H238="CO",FER_CO,FER_EC),_xlpm.capacidad,NETWORKDAYS(J$3,J$4,_xlpm.feriados)*INDEX(Consultores!$C$6:$C$65,MATCH($A238,Consultores!$A$6:$A$65,0)),IF(_xlpm.horas=0,"",IFERROR(_xlpm.horas/_xlpm.capacidad,"")))</f>
        <v/>
      </c>
      <c r="Q238" s="34">
        <f>_xlfn.LET(_xlpm.horas,K238,_xlpm.feriados,IF($H238="CO",FER_CO,FER_EC),_xlpm.capacidad,NETWORKDAYS(K$3,K$4,_xlpm.feriados)*INDEX(Consultores!$C$6:$C$65,MATCH($A238,Consultores!$A$6:$A$65,0)),IF(_xlpm.horas=0,"",IFERROR(_xlpm.horas/_xlpm.capacidad,"")))</f>
        <v/>
      </c>
      <c r="R238" s="34">
        <f>_xlfn.LET(_xlpm.horas,L238,_xlpm.feriados,IF($H238="CO",FER_CO,FER_EC),_xlpm.capacidad,NETWORKDAYS(L$3,L$4,_xlpm.feriados)*INDEX(Consultores!$C$6:$C$65,MATCH($A238,Consultores!$A$6:$A$65,0)),IF(_xlpm.horas=0,"",IFERROR(_xlpm.horas/_xlpm.capacidad,"")))</f>
        <v/>
      </c>
      <c r="S238" s="34">
        <f>_xlfn.LET(_xlpm.horas,M238,_xlpm.feriados,IF($H238="CO",FER_CO,FER_EC),_xlpm.capacidad,NETWORKDAYS(M$3,M$4,_xlpm.feriados)*INDEX(Consultores!$C$6:$C$65,MATCH($A238,Consultores!$A$6:$A$65,0)),IF(_xlpm.horas=0,"",IFERROR(_xlpm.horas/_xlpm.capacidad,"")))</f>
        <v/>
      </c>
      <c r="T238" s="34">
        <f>_xlfn.LET(_xlpm.horas,N238,_xlpm.feriados,IF($H238="CO",FER_CO,FER_EC),_xlpm.capacidad,NETWORKDAYS(N$3,N$4,_xlpm.feriados)*INDEX(Consultores!$C$6:$C$65,MATCH($A238,Consultores!$A$6:$A$65,0)),IF(_xlpm.horas=0,"",IFERROR(_xlpm.horas/_xlpm.capacidad,"")))</f>
        <v/>
      </c>
      <c r="U238" s="34">
        <f>_xlfn.LET(_xlpm.horas,O238,_xlpm.feriados,IF($H238="CO",FER_CO,FER_EC),_xlpm.capacidad,NETWORKDAYS(O$3,O$4,_xlpm.feriados)*INDEX(Consultores!$C$6:$C$65,MATCH($A238,Consultores!$A$6:$A$65,0)),IF(_xlpm.horas=0,"",IFERROR(_xlpm.horas/_xlpm.capacidad,"")))</f>
        <v/>
      </c>
    </row>
    <row r="239">
      <c r="A239" s="25" t="n"/>
      <c r="B239" s="25" t="n"/>
      <c r="C239" s="25" t="n"/>
      <c r="D239" s="30" t="n"/>
      <c r="E239" s="30" t="n"/>
      <c r="F239" s="26" t="n"/>
      <c r="G239" s="25" t="n"/>
      <c r="H239" s="31">
        <f>IF($A239="","",IFERROR(INDEX(Consultores!$B$6:$B$65,MATCH($A239,Consultores!$A$6:$A$65,0)),"No existe"))</f>
        <v/>
      </c>
      <c r="I239" s="32">
        <f>IF($F239="",0,$F239/5)</f>
        <v/>
      </c>
      <c r="J239" s="33">
        <f>_xlfn.LET(_xlpm.inicio,MAX($D239,J$3),_xlpm.fin,MIN($E239,J$4),_xlpm.feriados,IF($H239="CO",FER_CO,FER_EC),_xlpm.dias,IF(_xlpm.inicio&gt;_xlpm.fin,0,NETWORKDAYS(_xlpm.inicio,_xlpm.fin,_xlpm.feriados)),_xlpm.factor,IF($G239="Probable",IF(Parametros!$B$6="Sí",1,0),1),IF(OR($A239="",$D239="",$E239=""),0,_xlpm.dias*$I239*_xlpm.factor))</f>
        <v/>
      </c>
      <c r="K239" s="33">
        <f>_xlfn.LET(_xlpm.inicio,MAX($D239,K$3),_xlpm.fin,MIN($E239,K$4),_xlpm.feriados,IF($H239="CO",FER_CO,FER_EC),_xlpm.dias,IF(_xlpm.inicio&gt;_xlpm.fin,0,NETWORKDAYS(_xlpm.inicio,_xlpm.fin,_xlpm.feriados)),_xlpm.factor,IF($G239="Probable",IF(Parametros!$B$6="Sí",1,0),1),IF(OR($A239="",$D239="",$E239=""),0,_xlpm.dias*$I239*_xlpm.factor))</f>
        <v/>
      </c>
      <c r="L239" s="33">
        <f>_xlfn.LET(_xlpm.inicio,MAX($D239,L$3),_xlpm.fin,MIN($E239,L$4),_xlpm.feriados,IF($H239="CO",FER_CO,FER_EC),_xlpm.dias,IF(_xlpm.inicio&gt;_xlpm.fin,0,NETWORKDAYS(_xlpm.inicio,_xlpm.fin,_xlpm.feriados)),_xlpm.factor,IF($G239="Probable",IF(Parametros!$B$6="Sí",1,0),1),IF(OR($A239="",$D239="",$E239=""),0,_xlpm.dias*$I239*_xlpm.factor))</f>
        <v/>
      </c>
      <c r="M239" s="33">
        <f>_xlfn.LET(_xlpm.inicio,MAX($D239,M$3),_xlpm.fin,MIN($E239,M$4),_xlpm.feriados,IF($H239="CO",FER_CO,FER_EC),_xlpm.dias,IF(_xlpm.inicio&gt;_xlpm.fin,0,NETWORKDAYS(_xlpm.inicio,_xlpm.fin,_xlpm.feriados)),_xlpm.factor,IF($G239="Probable",IF(Parametros!$B$6="Sí",1,0),1),IF(OR($A239="",$D239="",$E239=""),0,_xlpm.dias*$I239*_xlpm.factor))</f>
        <v/>
      </c>
      <c r="N239" s="33">
        <f>_xlfn.LET(_xlpm.inicio,MAX($D239,N$3),_xlpm.fin,MIN($E239,N$4),_xlpm.feriados,IF($H239="CO",FER_CO,FER_EC),_xlpm.dias,IF(_xlpm.inicio&gt;_xlpm.fin,0,NETWORKDAYS(_xlpm.inicio,_xlpm.fin,_xlpm.feriados)),_xlpm.factor,IF($G239="Probable",IF(Parametros!$B$6="Sí",1,0),1),IF(OR($A239="",$D239="",$E239=""),0,_xlpm.dias*$I239*_xlpm.factor))</f>
        <v/>
      </c>
      <c r="O239" s="33">
        <f>_xlfn.LET(_xlpm.inicio,MAX($D239,O$3),_xlpm.fin,MIN($E239,O$4),_xlpm.feriados,IF($H239="CO",FER_CO,FER_EC),_xlpm.dias,IF(_xlpm.inicio&gt;_xlpm.fin,0,NETWORKDAYS(_xlpm.inicio,_xlpm.fin,_xlpm.feriados)),_xlpm.factor,IF($G239="Probable",IF(Parametros!$B$6="Sí",1,0),1),IF(OR($A239="",$D239="",$E239=""),0,_xlpm.dias*$I239*_xlpm.factor))</f>
        <v/>
      </c>
      <c r="P239" s="34">
        <f>_xlfn.LET(_xlpm.horas,J239,_xlpm.feriados,IF($H239="CO",FER_CO,FER_EC),_xlpm.capacidad,NETWORKDAYS(J$3,J$4,_xlpm.feriados)*INDEX(Consultores!$C$6:$C$65,MATCH($A239,Consultores!$A$6:$A$65,0)),IF(_xlpm.horas=0,"",IFERROR(_xlpm.horas/_xlpm.capacidad,"")))</f>
        <v/>
      </c>
      <c r="Q239" s="34">
        <f>_xlfn.LET(_xlpm.horas,K239,_xlpm.feriados,IF($H239="CO",FER_CO,FER_EC),_xlpm.capacidad,NETWORKDAYS(K$3,K$4,_xlpm.feriados)*INDEX(Consultores!$C$6:$C$65,MATCH($A239,Consultores!$A$6:$A$65,0)),IF(_xlpm.horas=0,"",IFERROR(_xlpm.horas/_xlpm.capacidad,"")))</f>
        <v/>
      </c>
      <c r="R239" s="34">
        <f>_xlfn.LET(_xlpm.horas,L239,_xlpm.feriados,IF($H239="CO",FER_CO,FER_EC),_xlpm.capacidad,NETWORKDAYS(L$3,L$4,_xlpm.feriados)*INDEX(Consultores!$C$6:$C$65,MATCH($A239,Consultores!$A$6:$A$65,0)),IF(_xlpm.horas=0,"",IFERROR(_xlpm.horas/_xlpm.capacidad,"")))</f>
        <v/>
      </c>
      <c r="S239" s="34">
        <f>_xlfn.LET(_xlpm.horas,M239,_xlpm.feriados,IF($H239="CO",FER_CO,FER_EC),_xlpm.capacidad,NETWORKDAYS(M$3,M$4,_xlpm.feriados)*INDEX(Consultores!$C$6:$C$65,MATCH($A239,Consultores!$A$6:$A$65,0)),IF(_xlpm.horas=0,"",IFERROR(_xlpm.horas/_xlpm.capacidad,"")))</f>
        <v/>
      </c>
      <c r="T239" s="34">
        <f>_xlfn.LET(_xlpm.horas,N239,_xlpm.feriados,IF($H239="CO",FER_CO,FER_EC),_xlpm.capacidad,NETWORKDAYS(N$3,N$4,_xlpm.feriados)*INDEX(Consultores!$C$6:$C$65,MATCH($A239,Consultores!$A$6:$A$65,0)),IF(_xlpm.horas=0,"",IFERROR(_xlpm.horas/_xlpm.capacidad,"")))</f>
        <v/>
      </c>
      <c r="U239" s="34">
        <f>_xlfn.LET(_xlpm.horas,O239,_xlpm.feriados,IF($H239="CO",FER_CO,FER_EC),_xlpm.capacidad,NETWORKDAYS(O$3,O$4,_xlpm.feriados)*INDEX(Consultores!$C$6:$C$65,MATCH($A239,Consultores!$A$6:$A$65,0)),IF(_xlpm.horas=0,"",IFERROR(_xlpm.horas/_xlpm.capacidad,"")))</f>
        <v/>
      </c>
    </row>
    <row r="240">
      <c r="A240" s="25" t="n"/>
      <c r="B240" s="25" t="n"/>
      <c r="C240" s="25" t="n"/>
      <c r="D240" s="30" t="n"/>
      <c r="E240" s="30" t="n"/>
      <c r="F240" s="26" t="n"/>
      <c r="G240" s="25" t="n"/>
      <c r="H240" s="31">
        <f>IF($A240="","",IFERROR(INDEX(Consultores!$B$6:$B$65,MATCH($A240,Consultores!$A$6:$A$65,0)),"No existe"))</f>
        <v/>
      </c>
      <c r="I240" s="32">
        <f>IF($F240="",0,$F240/5)</f>
        <v/>
      </c>
      <c r="J240" s="33">
        <f>_xlfn.LET(_xlpm.inicio,MAX($D240,J$3),_xlpm.fin,MIN($E240,J$4),_xlpm.feriados,IF($H240="CO",FER_CO,FER_EC),_xlpm.dias,IF(_xlpm.inicio&gt;_xlpm.fin,0,NETWORKDAYS(_xlpm.inicio,_xlpm.fin,_xlpm.feriados)),_xlpm.factor,IF($G240="Probable",IF(Parametros!$B$6="Sí",1,0),1),IF(OR($A240="",$D240="",$E240=""),0,_xlpm.dias*$I240*_xlpm.factor))</f>
        <v/>
      </c>
      <c r="K240" s="33">
        <f>_xlfn.LET(_xlpm.inicio,MAX($D240,K$3),_xlpm.fin,MIN($E240,K$4),_xlpm.feriados,IF($H240="CO",FER_CO,FER_EC),_xlpm.dias,IF(_xlpm.inicio&gt;_xlpm.fin,0,NETWORKDAYS(_xlpm.inicio,_xlpm.fin,_xlpm.feriados)),_xlpm.factor,IF($G240="Probable",IF(Parametros!$B$6="Sí",1,0),1),IF(OR($A240="",$D240="",$E240=""),0,_xlpm.dias*$I240*_xlpm.factor))</f>
        <v/>
      </c>
      <c r="L240" s="33">
        <f>_xlfn.LET(_xlpm.inicio,MAX($D240,L$3),_xlpm.fin,MIN($E240,L$4),_xlpm.feriados,IF($H240="CO",FER_CO,FER_EC),_xlpm.dias,IF(_xlpm.inicio&gt;_xlpm.fin,0,NETWORKDAYS(_xlpm.inicio,_xlpm.fin,_xlpm.feriados)),_xlpm.factor,IF($G240="Probable",IF(Parametros!$B$6="Sí",1,0),1),IF(OR($A240="",$D240="",$E240=""),0,_xlpm.dias*$I240*_xlpm.factor))</f>
        <v/>
      </c>
      <c r="M240" s="33">
        <f>_xlfn.LET(_xlpm.inicio,MAX($D240,M$3),_xlpm.fin,MIN($E240,M$4),_xlpm.feriados,IF($H240="CO",FER_CO,FER_EC),_xlpm.dias,IF(_xlpm.inicio&gt;_xlpm.fin,0,NETWORKDAYS(_xlpm.inicio,_xlpm.fin,_xlpm.feriados)),_xlpm.factor,IF($G240="Probable",IF(Parametros!$B$6="Sí",1,0),1),IF(OR($A240="",$D240="",$E240=""),0,_xlpm.dias*$I240*_xlpm.factor))</f>
        <v/>
      </c>
      <c r="N240" s="33">
        <f>_xlfn.LET(_xlpm.inicio,MAX($D240,N$3),_xlpm.fin,MIN($E240,N$4),_xlpm.feriados,IF($H240="CO",FER_CO,FER_EC),_xlpm.dias,IF(_xlpm.inicio&gt;_xlpm.fin,0,NETWORKDAYS(_xlpm.inicio,_xlpm.fin,_xlpm.feriados)),_xlpm.factor,IF($G240="Probable",IF(Parametros!$B$6="Sí",1,0),1),IF(OR($A240="",$D240="",$E240=""),0,_xlpm.dias*$I240*_xlpm.factor))</f>
        <v/>
      </c>
      <c r="O240" s="33">
        <f>_xlfn.LET(_xlpm.inicio,MAX($D240,O$3),_xlpm.fin,MIN($E240,O$4),_xlpm.feriados,IF($H240="CO",FER_CO,FER_EC),_xlpm.dias,IF(_xlpm.inicio&gt;_xlpm.fin,0,NETWORKDAYS(_xlpm.inicio,_xlpm.fin,_xlpm.feriados)),_xlpm.factor,IF($G240="Probable",IF(Parametros!$B$6="Sí",1,0),1),IF(OR($A240="",$D240="",$E240=""),0,_xlpm.dias*$I240*_xlpm.factor))</f>
        <v/>
      </c>
      <c r="P240" s="34">
        <f>_xlfn.LET(_xlpm.horas,J240,_xlpm.feriados,IF($H240="CO",FER_CO,FER_EC),_xlpm.capacidad,NETWORKDAYS(J$3,J$4,_xlpm.feriados)*INDEX(Consultores!$C$6:$C$65,MATCH($A240,Consultores!$A$6:$A$65,0)),IF(_xlpm.horas=0,"",IFERROR(_xlpm.horas/_xlpm.capacidad,"")))</f>
        <v/>
      </c>
      <c r="Q240" s="34">
        <f>_xlfn.LET(_xlpm.horas,K240,_xlpm.feriados,IF($H240="CO",FER_CO,FER_EC),_xlpm.capacidad,NETWORKDAYS(K$3,K$4,_xlpm.feriados)*INDEX(Consultores!$C$6:$C$65,MATCH($A240,Consultores!$A$6:$A$65,0)),IF(_xlpm.horas=0,"",IFERROR(_xlpm.horas/_xlpm.capacidad,"")))</f>
        <v/>
      </c>
      <c r="R240" s="34">
        <f>_xlfn.LET(_xlpm.horas,L240,_xlpm.feriados,IF($H240="CO",FER_CO,FER_EC),_xlpm.capacidad,NETWORKDAYS(L$3,L$4,_xlpm.feriados)*INDEX(Consultores!$C$6:$C$65,MATCH($A240,Consultores!$A$6:$A$65,0)),IF(_xlpm.horas=0,"",IFERROR(_xlpm.horas/_xlpm.capacidad,"")))</f>
        <v/>
      </c>
      <c r="S240" s="34">
        <f>_xlfn.LET(_xlpm.horas,M240,_xlpm.feriados,IF($H240="CO",FER_CO,FER_EC),_xlpm.capacidad,NETWORKDAYS(M$3,M$4,_xlpm.feriados)*INDEX(Consultores!$C$6:$C$65,MATCH($A240,Consultores!$A$6:$A$65,0)),IF(_xlpm.horas=0,"",IFERROR(_xlpm.horas/_xlpm.capacidad,"")))</f>
        <v/>
      </c>
      <c r="T240" s="34">
        <f>_xlfn.LET(_xlpm.horas,N240,_xlpm.feriados,IF($H240="CO",FER_CO,FER_EC),_xlpm.capacidad,NETWORKDAYS(N$3,N$4,_xlpm.feriados)*INDEX(Consultores!$C$6:$C$65,MATCH($A240,Consultores!$A$6:$A$65,0)),IF(_xlpm.horas=0,"",IFERROR(_xlpm.horas/_xlpm.capacidad,"")))</f>
        <v/>
      </c>
      <c r="U240" s="34">
        <f>_xlfn.LET(_xlpm.horas,O240,_xlpm.feriados,IF($H240="CO",FER_CO,FER_EC),_xlpm.capacidad,NETWORKDAYS(O$3,O$4,_xlpm.feriados)*INDEX(Consultores!$C$6:$C$65,MATCH($A240,Consultores!$A$6:$A$65,0)),IF(_xlpm.horas=0,"",IFERROR(_xlpm.horas/_xlpm.capacidad,"")))</f>
        <v/>
      </c>
    </row>
    <row r="241">
      <c r="A241" s="25" t="n"/>
      <c r="B241" s="25" t="n"/>
      <c r="C241" s="25" t="n"/>
      <c r="D241" s="30" t="n"/>
      <c r="E241" s="30" t="n"/>
      <c r="F241" s="26" t="n"/>
      <c r="G241" s="25" t="n"/>
      <c r="H241" s="31">
        <f>IF($A241="","",IFERROR(INDEX(Consultores!$B$6:$B$65,MATCH($A241,Consultores!$A$6:$A$65,0)),"No existe"))</f>
        <v/>
      </c>
      <c r="I241" s="32">
        <f>IF($F241="",0,$F241/5)</f>
        <v/>
      </c>
      <c r="J241" s="33">
        <f>_xlfn.LET(_xlpm.inicio,MAX($D241,J$3),_xlpm.fin,MIN($E241,J$4),_xlpm.feriados,IF($H241="CO",FER_CO,FER_EC),_xlpm.dias,IF(_xlpm.inicio&gt;_xlpm.fin,0,NETWORKDAYS(_xlpm.inicio,_xlpm.fin,_xlpm.feriados)),_xlpm.factor,IF($G241="Probable",IF(Parametros!$B$6="Sí",1,0),1),IF(OR($A241="",$D241="",$E241=""),0,_xlpm.dias*$I241*_xlpm.factor))</f>
        <v/>
      </c>
      <c r="K241" s="33">
        <f>_xlfn.LET(_xlpm.inicio,MAX($D241,K$3),_xlpm.fin,MIN($E241,K$4),_xlpm.feriados,IF($H241="CO",FER_CO,FER_EC),_xlpm.dias,IF(_xlpm.inicio&gt;_xlpm.fin,0,NETWORKDAYS(_xlpm.inicio,_xlpm.fin,_xlpm.feriados)),_xlpm.factor,IF($G241="Probable",IF(Parametros!$B$6="Sí",1,0),1),IF(OR($A241="",$D241="",$E241=""),0,_xlpm.dias*$I241*_xlpm.factor))</f>
        <v/>
      </c>
      <c r="L241" s="33">
        <f>_xlfn.LET(_xlpm.inicio,MAX($D241,L$3),_xlpm.fin,MIN($E241,L$4),_xlpm.feriados,IF($H241="CO",FER_CO,FER_EC),_xlpm.dias,IF(_xlpm.inicio&gt;_xlpm.fin,0,NETWORKDAYS(_xlpm.inicio,_xlpm.fin,_xlpm.feriados)),_xlpm.factor,IF($G241="Probable",IF(Parametros!$B$6="Sí",1,0),1),IF(OR($A241="",$D241="",$E241=""),0,_xlpm.dias*$I241*_xlpm.factor))</f>
        <v/>
      </c>
      <c r="M241" s="33">
        <f>_xlfn.LET(_xlpm.inicio,MAX($D241,M$3),_xlpm.fin,MIN($E241,M$4),_xlpm.feriados,IF($H241="CO",FER_CO,FER_EC),_xlpm.dias,IF(_xlpm.inicio&gt;_xlpm.fin,0,NETWORKDAYS(_xlpm.inicio,_xlpm.fin,_xlpm.feriados)),_xlpm.factor,IF($G241="Probable",IF(Parametros!$B$6="Sí",1,0),1),IF(OR($A241="",$D241="",$E241=""),0,_xlpm.dias*$I241*_xlpm.factor))</f>
        <v/>
      </c>
      <c r="N241" s="33">
        <f>_xlfn.LET(_xlpm.inicio,MAX($D241,N$3),_xlpm.fin,MIN($E241,N$4),_xlpm.feriados,IF($H241="CO",FER_CO,FER_EC),_xlpm.dias,IF(_xlpm.inicio&gt;_xlpm.fin,0,NETWORKDAYS(_xlpm.inicio,_xlpm.fin,_xlpm.feriados)),_xlpm.factor,IF($G241="Probable",IF(Parametros!$B$6="Sí",1,0),1),IF(OR($A241="",$D241="",$E241=""),0,_xlpm.dias*$I241*_xlpm.factor))</f>
        <v/>
      </c>
      <c r="O241" s="33">
        <f>_xlfn.LET(_xlpm.inicio,MAX($D241,O$3),_xlpm.fin,MIN($E241,O$4),_xlpm.feriados,IF($H241="CO",FER_CO,FER_EC),_xlpm.dias,IF(_xlpm.inicio&gt;_xlpm.fin,0,NETWORKDAYS(_xlpm.inicio,_xlpm.fin,_xlpm.feriados)),_xlpm.factor,IF($G241="Probable",IF(Parametros!$B$6="Sí",1,0),1),IF(OR($A241="",$D241="",$E241=""),0,_xlpm.dias*$I241*_xlpm.factor))</f>
        <v/>
      </c>
      <c r="P241" s="34">
        <f>_xlfn.LET(_xlpm.horas,J241,_xlpm.feriados,IF($H241="CO",FER_CO,FER_EC),_xlpm.capacidad,NETWORKDAYS(J$3,J$4,_xlpm.feriados)*INDEX(Consultores!$C$6:$C$65,MATCH($A241,Consultores!$A$6:$A$65,0)),IF(_xlpm.horas=0,"",IFERROR(_xlpm.horas/_xlpm.capacidad,"")))</f>
        <v/>
      </c>
      <c r="Q241" s="34">
        <f>_xlfn.LET(_xlpm.horas,K241,_xlpm.feriados,IF($H241="CO",FER_CO,FER_EC),_xlpm.capacidad,NETWORKDAYS(K$3,K$4,_xlpm.feriados)*INDEX(Consultores!$C$6:$C$65,MATCH($A241,Consultores!$A$6:$A$65,0)),IF(_xlpm.horas=0,"",IFERROR(_xlpm.horas/_xlpm.capacidad,"")))</f>
        <v/>
      </c>
      <c r="R241" s="34">
        <f>_xlfn.LET(_xlpm.horas,L241,_xlpm.feriados,IF($H241="CO",FER_CO,FER_EC),_xlpm.capacidad,NETWORKDAYS(L$3,L$4,_xlpm.feriados)*INDEX(Consultores!$C$6:$C$65,MATCH($A241,Consultores!$A$6:$A$65,0)),IF(_xlpm.horas=0,"",IFERROR(_xlpm.horas/_xlpm.capacidad,"")))</f>
        <v/>
      </c>
      <c r="S241" s="34">
        <f>_xlfn.LET(_xlpm.horas,M241,_xlpm.feriados,IF($H241="CO",FER_CO,FER_EC),_xlpm.capacidad,NETWORKDAYS(M$3,M$4,_xlpm.feriados)*INDEX(Consultores!$C$6:$C$65,MATCH($A241,Consultores!$A$6:$A$65,0)),IF(_xlpm.horas=0,"",IFERROR(_xlpm.horas/_xlpm.capacidad,"")))</f>
        <v/>
      </c>
      <c r="T241" s="34">
        <f>_xlfn.LET(_xlpm.horas,N241,_xlpm.feriados,IF($H241="CO",FER_CO,FER_EC),_xlpm.capacidad,NETWORKDAYS(N$3,N$4,_xlpm.feriados)*INDEX(Consultores!$C$6:$C$65,MATCH($A241,Consultores!$A$6:$A$65,0)),IF(_xlpm.horas=0,"",IFERROR(_xlpm.horas/_xlpm.capacidad,"")))</f>
        <v/>
      </c>
      <c r="U241" s="34">
        <f>_xlfn.LET(_xlpm.horas,O241,_xlpm.feriados,IF($H241="CO",FER_CO,FER_EC),_xlpm.capacidad,NETWORKDAYS(O$3,O$4,_xlpm.feriados)*INDEX(Consultores!$C$6:$C$65,MATCH($A241,Consultores!$A$6:$A$65,0)),IF(_xlpm.horas=0,"",IFERROR(_xlpm.horas/_xlpm.capacidad,"")))</f>
        <v/>
      </c>
    </row>
    <row r="242">
      <c r="A242" s="25" t="n"/>
      <c r="B242" s="25" t="n"/>
      <c r="C242" s="25" t="n"/>
      <c r="D242" s="30" t="n"/>
      <c r="E242" s="30" t="n"/>
      <c r="F242" s="26" t="n"/>
      <c r="G242" s="25" t="n"/>
      <c r="H242" s="31">
        <f>IF($A242="","",IFERROR(INDEX(Consultores!$B$6:$B$65,MATCH($A242,Consultores!$A$6:$A$65,0)),"No existe"))</f>
        <v/>
      </c>
      <c r="I242" s="32">
        <f>IF($F242="",0,$F242/5)</f>
        <v/>
      </c>
      <c r="J242" s="33">
        <f>_xlfn.LET(_xlpm.inicio,MAX($D242,J$3),_xlpm.fin,MIN($E242,J$4),_xlpm.feriados,IF($H242="CO",FER_CO,FER_EC),_xlpm.dias,IF(_xlpm.inicio&gt;_xlpm.fin,0,NETWORKDAYS(_xlpm.inicio,_xlpm.fin,_xlpm.feriados)),_xlpm.factor,IF($G242="Probable",IF(Parametros!$B$6="Sí",1,0),1),IF(OR($A242="",$D242="",$E242=""),0,_xlpm.dias*$I242*_xlpm.factor))</f>
        <v/>
      </c>
      <c r="K242" s="33">
        <f>_xlfn.LET(_xlpm.inicio,MAX($D242,K$3),_xlpm.fin,MIN($E242,K$4),_xlpm.feriados,IF($H242="CO",FER_CO,FER_EC),_xlpm.dias,IF(_xlpm.inicio&gt;_xlpm.fin,0,NETWORKDAYS(_xlpm.inicio,_xlpm.fin,_xlpm.feriados)),_xlpm.factor,IF($G242="Probable",IF(Parametros!$B$6="Sí",1,0),1),IF(OR($A242="",$D242="",$E242=""),0,_xlpm.dias*$I242*_xlpm.factor))</f>
        <v/>
      </c>
      <c r="L242" s="33">
        <f>_xlfn.LET(_xlpm.inicio,MAX($D242,L$3),_xlpm.fin,MIN($E242,L$4),_xlpm.feriados,IF($H242="CO",FER_CO,FER_EC),_xlpm.dias,IF(_xlpm.inicio&gt;_xlpm.fin,0,NETWORKDAYS(_xlpm.inicio,_xlpm.fin,_xlpm.feriados)),_xlpm.factor,IF($G242="Probable",IF(Parametros!$B$6="Sí",1,0),1),IF(OR($A242="",$D242="",$E242=""),0,_xlpm.dias*$I242*_xlpm.factor))</f>
        <v/>
      </c>
      <c r="M242" s="33">
        <f>_xlfn.LET(_xlpm.inicio,MAX($D242,M$3),_xlpm.fin,MIN($E242,M$4),_xlpm.feriados,IF($H242="CO",FER_CO,FER_EC),_xlpm.dias,IF(_xlpm.inicio&gt;_xlpm.fin,0,NETWORKDAYS(_xlpm.inicio,_xlpm.fin,_xlpm.feriados)),_xlpm.factor,IF($G242="Probable",IF(Parametros!$B$6="Sí",1,0),1),IF(OR($A242="",$D242="",$E242=""),0,_xlpm.dias*$I242*_xlpm.factor))</f>
        <v/>
      </c>
      <c r="N242" s="33">
        <f>_xlfn.LET(_xlpm.inicio,MAX($D242,N$3),_xlpm.fin,MIN($E242,N$4),_xlpm.feriados,IF($H242="CO",FER_CO,FER_EC),_xlpm.dias,IF(_xlpm.inicio&gt;_xlpm.fin,0,NETWORKDAYS(_xlpm.inicio,_xlpm.fin,_xlpm.feriados)),_xlpm.factor,IF($G242="Probable",IF(Parametros!$B$6="Sí",1,0),1),IF(OR($A242="",$D242="",$E242=""),0,_xlpm.dias*$I242*_xlpm.factor))</f>
        <v/>
      </c>
      <c r="O242" s="33">
        <f>_xlfn.LET(_xlpm.inicio,MAX($D242,O$3),_xlpm.fin,MIN($E242,O$4),_xlpm.feriados,IF($H242="CO",FER_CO,FER_EC),_xlpm.dias,IF(_xlpm.inicio&gt;_xlpm.fin,0,NETWORKDAYS(_xlpm.inicio,_xlpm.fin,_xlpm.feriados)),_xlpm.factor,IF($G242="Probable",IF(Parametros!$B$6="Sí",1,0),1),IF(OR($A242="",$D242="",$E242=""),0,_xlpm.dias*$I242*_xlpm.factor))</f>
        <v/>
      </c>
      <c r="P242" s="34">
        <f>_xlfn.LET(_xlpm.horas,J242,_xlpm.feriados,IF($H242="CO",FER_CO,FER_EC),_xlpm.capacidad,NETWORKDAYS(J$3,J$4,_xlpm.feriados)*INDEX(Consultores!$C$6:$C$65,MATCH($A242,Consultores!$A$6:$A$65,0)),IF(_xlpm.horas=0,"",IFERROR(_xlpm.horas/_xlpm.capacidad,"")))</f>
        <v/>
      </c>
      <c r="Q242" s="34">
        <f>_xlfn.LET(_xlpm.horas,K242,_xlpm.feriados,IF($H242="CO",FER_CO,FER_EC),_xlpm.capacidad,NETWORKDAYS(K$3,K$4,_xlpm.feriados)*INDEX(Consultores!$C$6:$C$65,MATCH($A242,Consultores!$A$6:$A$65,0)),IF(_xlpm.horas=0,"",IFERROR(_xlpm.horas/_xlpm.capacidad,"")))</f>
        <v/>
      </c>
      <c r="R242" s="34">
        <f>_xlfn.LET(_xlpm.horas,L242,_xlpm.feriados,IF($H242="CO",FER_CO,FER_EC),_xlpm.capacidad,NETWORKDAYS(L$3,L$4,_xlpm.feriados)*INDEX(Consultores!$C$6:$C$65,MATCH($A242,Consultores!$A$6:$A$65,0)),IF(_xlpm.horas=0,"",IFERROR(_xlpm.horas/_xlpm.capacidad,"")))</f>
        <v/>
      </c>
      <c r="S242" s="34">
        <f>_xlfn.LET(_xlpm.horas,M242,_xlpm.feriados,IF($H242="CO",FER_CO,FER_EC),_xlpm.capacidad,NETWORKDAYS(M$3,M$4,_xlpm.feriados)*INDEX(Consultores!$C$6:$C$65,MATCH($A242,Consultores!$A$6:$A$65,0)),IF(_xlpm.horas=0,"",IFERROR(_xlpm.horas/_xlpm.capacidad,"")))</f>
        <v/>
      </c>
      <c r="T242" s="34">
        <f>_xlfn.LET(_xlpm.horas,N242,_xlpm.feriados,IF($H242="CO",FER_CO,FER_EC),_xlpm.capacidad,NETWORKDAYS(N$3,N$4,_xlpm.feriados)*INDEX(Consultores!$C$6:$C$65,MATCH($A242,Consultores!$A$6:$A$65,0)),IF(_xlpm.horas=0,"",IFERROR(_xlpm.horas/_xlpm.capacidad,"")))</f>
        <v/>
      </c>
      <c r="U242" s="34">
        <f>_xlfn.LET(_xlpm.horas,O242,_xlpm.feriados,IF($H242="CO",FER_CO,FER_EC),_xlpm.capacidad,NETWORKDAYS(O$3,O$4,_xlpm.feriados)*INDEX(Consultores!$C$6:$C$65,MATCH($A242,Consultores!$A$6:$A$65,0)),IF(_xlpm.horas=0,"",IFERROR(_xlpm.horas/_xlpm.capacidad,"")))</f>
        <v/>
      </c>
    </row>
    <row r="243">
      <c r="A243" s="25" t="n"/>
      <c r="B243" s="25" t="n"/>
      <c r="C243" s="25" t="n"/>
      <c r="D243" s="30" t="n"/>
      <c r="E243" s="30" t="n"/>
      <c r="F243" s="26" t="n"/>
      <c r="G243" s="25" t="n"/>
      <c r="H243" s="31">
        <f>IF($A243="","",IFERROR(INDEX(Consultores!$B$6:$B$65,MATCH($A243,Consultores!$A$6:$A$65,0)),"No existe"))</f>
        <v/>
      </c>
      <c r="I243" s="32">
        <f>IF($F243="",0,$F243/5)</f>
        <v/>
      </c>
      <c r="J243" s="33">
        <f>_xlfn.LET(_xlpm.inicio,MAX($D243,J$3),_xlpm.fin,MIN($E243,J$4),_xlpm.feriados,IF($H243="CO",FER_CO,FER_EC),_xlpm.dias,IF(_xlpm.inicio&gt;_xlpm.fin,0,NETWORKDAYS(_xlpm.inicio,_xlpm.fin,_xlpm.feriados)),_xlpm.factor,IF($G243="Probable",IF(Parametros!$B$6="Sí",1,0),1),IF(OR($A243="",$D243="",$E243=""),0,_xlpm.dias*$I243*_xlpm.factor))</f>
        <v/>
      </c>
      <c r="K243" s="33">
        <f>_xlfn.LET(_xlpm.inicio,MAX($D243,K$3),_xlpm.fin,MIN($E243,K$4),_xlpm.feriados,IF($H243="CO",FER_CO,FER_EC),_xlpm.dias,IF(_xlpm.inicio&gt;_xlpm.fin,0,NETWORKDAYS(_xlpm.inicio,_xlpm.fin,_xlpm.feriados)),_xlpm.factor,IF($G243="Probable",IF(Parametros!$B$6="Sí",1,0),1),IF(OR($A243="",$D243="",$E243=""),0,_xlpm.dias*$I243*_xlpm.factor))</f>
        <v/>
      </c>
      <c r="L243" s="33">
        <f>_xlfn.LET(_xlpm.inicio,MAX($D243,L$3),_xlpm.fin,MIN($E243,L$4),_xlpm.feriados,IF($H243="CO",FER_CO,FER_EC),_xlpm.dias,IF(_xlpm.inicio&gt;_xlpm.fin,0,NETWORKDAYS(_xlpm.inicio,_xlpm.fin,_xlpm.feriados)),_xlpm.factor,IF($G243="Probable",IF(Parametros!$B$6="Sí",1,0),1),IF(OR($A243="",$D243="",$E243=""),0,_xlpm.dias*$I243*_xlpm.factor))</f>
        <v/>
      </c>
      <c r="M243" s="33">
        <f>_xlfn.LET(_xlpm.inicio,MAX($D243,M$3),_xlpm.fin,MIN($E243,M$4),_xlpm.feriados,IF($H243="CO",FER_CO,FER_EC),_xlpm.dias,IF(_xlpm.inicio&gt;_xlpm.fin,0,NETWORKDAYS(_xlpm.inicio,_xlpm.fin,_xlpm.feriados)),_xlpm.factor,IF($G243="Probable",IF(Parametros!$B$6="Sí",1,0),1),IF(OR($A243="",$D243="",$E243=""),0,_xlpm.dias*$I243*_xlpm.factor))</f>
        <v/>
      </c>
      <c r="N243" s="33">
        <f>_xlfn.LET(_xlpm.inicio,MAX($D243,N$3),_xlpm.fin,MIN($E243,N$4),_xlpm.feriados,IF($H243="CO",FER_CO,FER_EC),_xlpm.dias,IF(_xlpm.inicio&gt;_xlpm.fin,0,NETWORKDAYS(_xlpm.inicio,_xlpm.fin,_xlpm.feriados)),_xlpm.factor,IF($G243="Probable",IF(Parametros!$B$6="Sí",1,0),1),IF(OR($A243="",$D243="",$E243=""),0,_xlpm.dias*$I243*_xlpm.factor))</f>
        <v/>
      </c>
      <c r="O243" s="33">
        <f>_xlfn.LET(_xlpm.inicio,MAX($D243,O$3),_xlpm.fin,MIN($E243,O$4),_xlpm.feriados,IF($H243="CO",FER_CO,FER_EC),_xlpm.dias,IF(_xlpm.inicio&gt;_xlpm.fin,0,NETWORKDAYS(_xlpm.inicio,_xlpm.fin,_xlpm.feriados)),_xlpm.factor,IF($G243="Probable",IF(Parametros!$B$6="Sí",1,0),1),IF(OR($A243="",$D243="",$E243=""),0,_xlpm.dias*$I243*_xlpm.factor))</f>
        <v/>
      </c>
      <c r="P243" s="34">
        <f>_xlfn.LET(_xlpm.horas,J243,_xlpm.feriados,IF($H243="CO",FER_CO,FER_EC),_xlpm.capacidad,NETWORKDAYS(J$3,J$4,_xlpm.feriados)*INDEX(Consultores!$C$6:$C$65,MATCH($A243,Consultores!$A$6:$A$65,0)),IF(_xlpm.horas=0,"",IFERROR(_xlpm.horas/_xlpm.capacidad,"")))</f>
        <v/>
      </c>
      <c r="Q243" s="34">
        <f>_xlfn.LET(_xlpm.horas,K243,_xlpm.feriados,IF($H243="CO",FER_CO,FER_EC),_xlpm.capacidad,NETWORKDAYS(K$3,K$4,_xlpm.feriados)*INDEX(Consultores!$C$6:$C$65,MATCH($A243,Consultores!$A$6:$A$65,0)),IF(_xlpm.horas=0,"",IFERROR(_xlpm.horas/_xlpm.capacidad,"")))</f>
        <v/>
      </c>
      <c r="R243" s="34">
        <f>_xlfn.LET(_xlpm.horas,L243,_xlpm.feriados,IF($H243="CO",FER_CO,FER_EC),_xlpm.capacidad,NETWORKDAYS(L$3,L$4,_xlpm.feriados)*INDEX(Consultores!$C$6:$C$65,MATCH($A243,Consultores!$A$6:$A$65,0)),IF(_xlpm.horas=0,"",IFERROR(_xlpm.horas/_xlpm.capacidad,"")))</f>
        <v/>
      </c>
      <c r="S243" s="34">
        <f>_xlfn.LET(_xlpm.horas,M243,_xlpm.feriados,IF($H243="CO",FER_CO,FER_EC),_xlpm.capacidad,NETWORKDAYS(M$3,M$4,_xlpm.feriados)*INDEX(Consultores!$C$6:$C$65,MATCH($A243,Consultores!$A$6:$A$65,0)),IF(_xlpm.horas=0,"",IFERROR(_xlpm.horas/_xlpm.capacidad,"")))</f>
        <v/>
      </c>
      <c r="T243" s="34">
        <f>_xlfn.LET(_xlpm.horas,N243,_xlpm.feriados,IF($H243="CO",FER_CO,FER_EC),_xlpm.capacidad,NETWORKDAYS(N$3,N$4,_xlpm.feriados)*INDEX(Consultores!$C$6:$C$65,MATCH($A243,Consultores!$A$6:$A$65,0)),IF(_xlpm.horas=0,"",IFERROR(_xlpm.horas/_xlpm.capacidad,"")))</f>
        <v/>
      </c>
      <c r="U243" s="34">
        <f>_xlfn.LET(_xlpm.horas,O243,_xlpm.feriados,IF($H243="CO",FER_CO,FER_EC),_xlpm.capacidad,NETWORKDAYS(O$3,O$4,_xlpm.feriados)*INDEX(Consultores!$C$6:$C$65,MATCH($A243,Consultores!$A$6:$A$65,0)),IF(_xlpm.horas=0,"",IFERROR(_xlpm.horas/_xlpm.capacidad,"")))</f>
        <v/>
      </c>
    </row>
    <row r="244">
      <c r="A244" s="25" t="n"/>
      <c r="B244" s="25" t="n"/>
      <c r="C244" s="25" t="n"/>
      <c r="D244" s="30" t="n"/>
      <c r="E244" s="30" t="n"/>
      <c r="F244" s="26" t="n"/>
      <c r="G244" s="25" t="n"/>
      <c r="H244" s="31">
        <f>IF($A244="","",IFERROR(INDEX(Consultores!$B$6:$B$65,MATCH($A244,Consultores!$A$6:$A$65,0)),"No existe"))</f>
        <v/>
      </c>
      <c r="I244" s="32">
        <f>IF($F244="",0,$F244/5)</f>
        <v/>
      </c>
      <c r="J244" s="33">
        <f>_xlfn.LET(_xlpm.inicio,MAX($D244,J$3),_xlpm.fin,MIN($E244,J$4),_xlpm.feriados,IF($H244="CO",FER_CO,FER_EC),_xlpm.dias,IF(_xlpm.inicio&gt;_xlpm.fin,0,NETWORKDAYS(_xlpm.inicio,_xlpm.fin,_xlpm.feriados)),_xlpm.factor,IF($G244="Probable",IF(Parametros!$B$6="Sí",1,0),1),IF(OR($A244="",$D244="",$E244=""),0,_xlpm.dias*$I244*_xlpm.factor))</f>
        <v/>
      </c>
      <c r="K244" s="33">
        <f>_xlfn.LET(_xlpm.inicio,MAX($D244,K$3),_xlpm.fin,MIN($E244,K$4),_xlpm.feriados,IF($H244="CO",FER_CO,FER_EC),_xlpm.dias,IF(_xlpm.inicio&gt;_xlpm.fin,0,NETWORKDAYS(_xlpm.inicio,_xlpm.fin,_xlpm.feriados)),_xlpm.factor,IF($G244="Probable",IF(Parametros!$B$6="Sí",1,0),1),IF(OR($A244="",$D244="",$E244=""),0,_xlpm.dias*$I244*_xlpm.factor))</f>
        <v/>
      </c>
      <c r="L244" s="33">
        <f>_xlfn.LET(_xlpm.inicio,MAX($D244,L$3),_xlpm.fin,MIN($E244,L$4),_xlpm.feriados,IF($H244="CO",FER_CO,FER_EC),_xlpm.dias,IF(_xlpm.inicio&gt;_xlpm.fin,0,NETWORKDAYS(_xlpm.inicio,_xlpm.fin,_xlpm.feriados)),_xlpm.factor,IF($G244="Probable",IF(Parametros!$B$6="Sí",1,0),1),IF(OR($A244="",$D244="",$E244=""),0,_xlpm.dias*$I244*_xlpm.factor))</f>
        <v/>
      </c>
      <c r="M244" s="33">
        <f>_xlfn.LET(_xlpm.inicio,MAX($D244,M$3),_xlpm.fin,MIN($E244,M$4),_xlpm.feriados,IF($H244="CO",FER_CO,FER_EC),_xlpm.dias,IF(_xlpm.inicio&gt;_xlpm.fin,0,NETWORKDAYS(_xlpm.inicio,_xlpm.fin,_xlpm.feriados)),_xlpm.factor,IF($G244="Probable",IF(Parametros!$B$6="Sí",1,0),1),IF(OR($A244="",$D244="",$E244=""),0,_xlpm.dias*$I244*_xlpm.factor))</f>
        <v/>
      </c>
      <c r="N244" s="33">
        <f>_xlfn.LET(_xlpm.inicio,MAX($D244,N$3),_xlpm.fin,MIN($E244,N$4),_xlpm.feriados,IF($H244="CO",FER_CO,FER_EC),_xlpm.dias,IF(_xlpm.inicio&gt;_xlpm.fin,0,NETWORKDAYS(_xlpm.inicio,_xlpm.fin,_xlpm.feriados)),_xlpm.factor,IF($G244="Probable",IF(Parametros!$B$6="Sí",1,0),1),IF(OR($A244="",$D244="",$E244=""),0,_xlpm.dias*$I244*_xlpm.factor))</f>
        <v/>
      </c>
      <c r="O244" s="33">
        <f>_xlfn.LET(_xlpm.inicio,MAX($D244,O$3),_xlpm.fin,MIN($E244,O$4),_xlpm.feriados,IF($H244="CO",FER_CO,FER_EC),_xlpm.dias,IF(_xlpm.inicio&gt;_xlpm.fin,0,NETWORKDAYS(_xlpm.inicio,_xlpm.fin,_xlpm.feriados)),_xlpm.factor,IF($G244="Probable",IF(Parametros!$B$6="Sí",1,0),1),IF(OR($A244="",$D244="",$E244=""),0,_xlpm.dias*$I244*_xlpm.factor))</f>
        <v/>
      </c>
      <c r="P244" s="34">
        <f>_xlfn.LET(_xlpm.horas,J244,_xlpm.feriados,IF($H244="CO",FER_CO,FER_EC),_xlpm.capacidad,NETWORKDAYS(J$3,J$4,_xlpm.feriados)*INDEX(Consultores!$C$6:$C$65,MATCH($A244,Consultores!$A$6:$A$65,0)),IF(_xlpm.horas=0,"",IFERROR(_xlpm.horas/_xlpm.capacidad,"")))</f>
        <v/>
      </c>
      <c r="Q244" s="34">
        <f>_xlfn.LET(_xlpm.horas,K244,_xlpm.feriados,IF($H244="CO",FER_CO,FER_EC),_xlpm.capacidad,NETWORKDAYS(K$3,K$4,_xlpm.feriados)*INDEX(Consultores!$C$6:$C$65,MATCH($A244,Consultores!$A$6:$A$65,0)),IF(_xlpm.horas=0,"",IFERROR(_xlpm.horas/_xlpm.capacidad,"")))</f>
        <v/>
      </c>
      <c r="R244" s="34">
        <f>_xlfn.LET(_xlpm.horas,L244,_xlpm.feriados,IF($H244="CO",FER_CO,FER_EC),_xlpm.capacidad,NETWORKDAYS(L$3,L$4,_xlpm.feriados)*INDEX(Consultores!$C$6:$C$65,MATCH($A244,Consultores!$A$6:$A$65,0)),IF(_xlpm.horas=0,"",IFERROR(_xlpm.horas/_xlpm.capacidad,"")))</f>
        <v/>
      </c>
      <c r="S244" s="34">
        <f>_xlfn.LET(_xlpm.horas,M244,_xlpm.feriados,IF($H244="CO",FER_CO,FER_EC),_xlpm.capacidad,NETWORKDAYS(M$3,M$4,_xlpm.feriados)*INDEX(Consultores!$C$6:$C$65,MATCH($A244,Consultores!$A$6:$A$65,0)),IF(_xlpm.horas=0,"",IFERROR(_xlpm.horas/_xlpm.capacidad,"")))</f>
        <v/>
      </c>
      <c r="T244" s="34">
        <f>_xlfn.LET(_xlpm.horas,N244,_xlpm.feriados,IF($H244="CO",FER_CO,FER_EC),_xlpm.capacidad,NETWORKDAYS(N$3,N$4,_xlpm.feriados)*INDEX(Consultores!$C$6:$C$65,MATCH($A244,Consultores!$A$6:$A$65,0)),IF(_xlpm.horas=0,"",IFERROR(_xlpm.horas/_xlpm.capacidad,"")))</f>
        <v/>
      </c>
      <c r="U244" s="34">
        <f>_xlfn.LET(_xlpm.horas,O244,_xlpm.feriados,IF($H244="CO",FER_CO,FER_EC),_xlpm.capacidad,NETWORKDAYS(O$3,O$4,_xlpm.feriados)*INDEX(Consultores!$C$6:$C$65,MATCH($A244,Consultores!$A$6:$A$65,0)),IF(_xlpm.horas=0,"",IFERROR(_xlpm.horas/_xlpm.capacidad,"")))</f>
        <v/>
      </c>
    </row>
    <row r="245">
      <c r="A245" s="25" t="n"/>
      <c r="B245" s="25" t="n"/>
      <c r="C245" s="25" t="n"/>
      <c r="D245" s="30" t="n"/>
      <c r="E245" s="30" t="n"/>
      <c r="F245" s="26" t="n"/>
      <c r="G245" s="25" t="n"/>
      <c r="H245" s="31">
        <f>IF($A245="","",IFERROR(INDEX(Consultores!$B$6:$B$65,MATCH($A245,Consultores!$A$6:$A$65,0)),"No existe"))</f>
        <v/>
      </c>
      <c r="I245" s="32">
        <f>IF($F245="",0,$F245/5)</f>
        <v/>
      </c>
      <c r="J245" s="33">
        <f>_xlfn.LET(_xlpm.inicio,MAX($D245,J$3),_xlpm.fin,MIN($E245,J$4),_xlpm.feriados,IF($H245="CO",FER_CO,FER_EC),_xlpm.dias,IF(_xlpm.inicio&gt;_xlpm.fin,0,NETWORKDAYS(_xlpm.inicio,_xlpm.fin,_xlpm.feriados)),_xlpm.factor,IF($G245="Probable",IF(Parametros!$B$6="Sí",1,0),1),IF(OR($A245="",$D245="",$E245=""),0,_xlpm.dias*$I245*_xlpm.factor))</f>
        <v/>
      </c>
      <c r="K245" s="33">
        <f>_xlfn.LET(_xlpm.inicio,MAX($D245,K$3),_xlpm.fin,MIN($E245,K$4),_xlpm.feriados,IF($H245="CO",FER_CO,FER_EC),_xlpm.dias,IF(_xlpm.inicio&gt;_xlpm.fin,0,NETWORKDAYS(_xlpm.inicio,_xlpm.fin,_xlpm.feriados)),_xlpm.factor,IF($G245="Probable",IF(Parametros!$B$6="Sí",1,0),1),IF(OR($A245="",$D245="",$E245=""),0,_xlpm.dias*$I245*_xlpm.factor))</f>
        <v/>
      </c>
      <c r="L245" s="33">
        <f>_xlfn.LET(_xlpm.inicio,MAX($D245,L$3),_xlpm.fin,MIN($E245,L$4),_xlpm.feriados,IF($H245="CO",FER_CO,FER_EC),_xlpm.dias,IF(_xlpm.inicio&gt;_xlpm.fin,0,NETWORKDAYS(_xlpm.inicio,_xlpm.fin,_xlpm.feriados)),_xlpm.factor,IF($G245="Probable",IF(Parametros!$B$6="Sí",1,0),1),IF(OR($A245="",$D245="",$E245=""),0,_xlpm.dias*$I245*_xlpm.factor))</f>
        <v/>
      </c>
      <c r="M245" s="33">
        <f>_xlfn.LET(_xlpm.inicio,MAX($D245,M$3),_xlpm.fin,MIN($E245,M$4),_xlpm.feriados,IF($H245="CO",FER_CO,FER_EC),_xlpm.dias,IF(_xlpm.inicio&gt;_xlpm.fin,0,NETWORKDAYS(_xlpm.inicio,_xlpm.fin,_xlpm.feriados)),_xlpm.factor,IF($G245="Probable",IF(Parametros!$B$6="Sí",1,0),1),IF(OR($A245="",$D245="",$E245=""),0,_xlpm.dias*$I245*_xlpm.factor))</f>
        <v/>
      </c>
      <c r="N245" s="33">
        <f>_xlfn.LET(_xlpm.inicio,MAX($D245,N$3),_xlpm.fin,MIN($E245,N$4),_xlpm.feriados,IF($H245="CO",FER_CO,FER_EC),_xlpm.dias,IF(_xlpm.inicio&gt;_xlpm.fin,0,NETWORKDAYS(_xlpm.inicio,_xlpm.fin,_xlpm.feriados)),_xlpm.factor,IF($G245="Probable",IF(Parametros!$B$6="Sí",1,0),1),IF(OR($A245="",$D245="",$E245=""),0,_xlpm.dias*$I245*_xlpm.factor))</f>
        <v/>
      </c>
      <c r="O245" s="33">
        <f>_xlfn.LET(_xlpm.inicio,MAX($D245,O$3),_xlpm.fin,MIN($E245,O$4),_xlpm.feriados,IF($H245="CO",FER_CO,FER_EC),_xlpm.dias,IF(_xlpm.inicio&gt;_xlpm.fin,0,NETWORKDAYS(_xlpm.inicio,_xlpm.fin,_xlpm.feriados)),_xlpm.factor,IF($G245="Probable",IF(Parametros!$B$6="Sí",1,0),1),IF(OR($A245="",$D245="",$E245=""),0,_xlpm.dias*$I245*_xlpm.factor))</f>
        <v/>
      </c>
      <c r="P245" s="34">
        <f>_xlfn.LET(_xlpm.horas,J245,_xlpm.feriados,IF($H245="CO",FER_CO,FER_EC),_xlpm.capacidad,NETWORKDAYS(J$3,J$4,_xlpm.feriados)*INDEX(Consultores!$C$6:$C$65,MATCH($A245,Consultores!$A$6:$A$65,0)),IF(_xlpm.horas=0,"",IFERROR(_xlpm.horas/_xlpm.capacidad,"")))</f>
        <v/>
      </c>
      <c r="Q245" s="34">
        <f>_xlfn.LET(_xlpm.horas,K245,_xlpm.feriados,IF($H245="CO",FER_CO,FER_EC),_xlpm.capacidad,NETWORKDAYS(K$3,K$4,_xlpm.feriados)*INDEX(Consultores!$C$6:$C$65,MATCH($A245,Consultores!$A$6:$A$65,0)),IF(_xlpm.horas=0,"",IFERROR(_xlpm.horas/_xlpm.capacidad,"")))</f>
        <v/>
      </c>
      <c r="R245" s="34">
        <f>_xlfn.LET(_xlpm.horas,L245,_xlpm.feriados,IF($H245="CO",FER_CO,FER_EC),_xlpm.capacidad,NETWORKDAYS(L$3,L$4,_xlpm.feriados)*INDEX(Consultores!$C$6:$C$65,MATCH($A245,Consultores!$A$6:$A$65,0)),IF(_xlpm.horas=0,"",IFERROR(_xlpm.horas/_xlpm.capacidad,"")))</f>
        <v/>
      </c>
      <c r="S245" s="34">
        <f>_xlfn.LET(_xlpm.horas,M245,_xlpm.feriados,IF($H245="CO",FER_CO,FER_EC),_xlpm.capacidad,NETWORKDAYS(M$3,M$4,_xlpm.feriados)*INDEX(Consultores!$C$6:$C$65,MATCH($A245,Consultores!$A$6:$A$65,0)),IF(_xlpm.horas=0,"",IFERROR(_xlpm.horas/_xlpm.capacidad,"")))</f>
        <v/>
      </c>
      <c r="T245" s="34">
        <f>_xlfn.LET(_xlpm.horas,N245,_xlpm.feriados,IF($H245="CO",FER_CO,FER_EC),_xlpm.capacidad,NETWORKDAYS(N$3,N$4,_xlpm.feriados)*INDEX(Consultores!$C$6:$C$65,MATCH($A245,Consultores!$A$6:$A$65,0)),IF(_xlpm.horas=0,"",IFERROR(_xlpm.horas/_xlpm.capacidad,"")))</f>
        <v/>
      </c>
      <c r="U245" s="34">
        <f>_xlfn.LET(_xlpm.horas,O245,_xlpm.feriados,IF($H245="CO",FER_CO,FER_EC),_xlpm.capacidad,NETWORKDAYS(O$3,O$4,_xlpm.feriados)*INDEX(Consultores!$C$6:$C$65,MATCH($A245,Consultores!$A$6:$A$65,0)),IF(_xlpm.horas=0,"",IFERROR(_xlpm.horas/_xlpm.capacidad,"")))</f>
        <v/>
      </c>
    </row>
    <row r="246">
      <c r="A246" s="25" t="n"/>
      <c r="B246" s="25" t="n"/>
      <c r="C246" s="25" t="n"/>
      <c r="D246" s="30" t="n"/>
      <c r="E246" s="30" t="n"/>
      <c r="F246" s="26" t="n"/>
      <c r="G246" s="25" t="n"/>
      <c r="H246" s="31">
        <f>IF($A246="","",IFERROR(INDEX(Consultores!$B$6:$B$65,MATCH($A246,Consultores!$A$6:$A$65,0)),"No existe"))</f>
        <v/>
      </c>
      <c r="I246" s="32">
        <f>IF($F246="",0,$F246/5)</f>
        <v/>
      </c>
      <c r="J246" s="33">
        <f>_xlfn.LET(_xlpm.inicio,MAX($D246,J$3),_xlpm.fin,MIN($E246,J$4),_xlpm.feriados,IF($H246="CO",FER_CO,FER_EC),_xlpm.dias,IF(_xlpm.inicio&gt;_xlpm.fin,0,NETWORKDAYS(_xlpm.inicio,_xlpm.fin,_xlpm.feriados)),_xlpm.factor,IF($G246="Probable",IF(Parametros!$B$6="Sí",1,0),1),IF(OR($A246="",$D246="",$E246=""),0,_xlpm.dias*$I246*_xlpm.factor))</f>
        <v/>
      </c>
      <c r="K246" s="33">
        <f>_xlfn.LET(_xlpm.inicio,MAX($D246,K$3),_xlpm.fin,MIN($E246,K$4),_xlpm.feriados,IF($H246="CO",FER_CO,FER_EC),_xlpm.dias,IF(_xlpm.inicio&gt;_xlpm.fin,0,NETWORKDAYS(_xlpm.inicio,_xlpm.fin,_xlpm.feriados)),_xlpm.factor,IF($G246="Probable",IF(Parametros!$B$6="Sí",1,0),1),IF(OR($A246="",$D246="",$E246=""),0,_xlpm.dias*$I246*_xlpm.factor))</f>
        <v/>
      </c>
      <c r="L246" s="33">
        <f>_xlfn.LET(_xlpm.inicio,MAX($D246,L$3),_xlpm.fin,MIN($E246,L$4),_xlpm.feriados,IF($H246="CO",FER_CO,FER_EC),_xlpm.dias,IF(_xlpm.inicio&gt;_xlpm.fin,0,NETWORKDAYS(_xlpm.inicio,_xlpm.fin,_xlpm.feriados)),_xlpm.factor,IF($G246="Probable",IF(Parametros!$B$6="Sí",1,0),1),IF(OR($A246="",$D246="",$E246=""),0,_xlpm.dias*$I246*_xlpm.factor))</f>
        <v/>
      </c>
      <c r="M246" s="33">
        <f>_xlfn.LET(_xlpm.inicio,MAX($D246,M$3),_xlpm.fin,MIN($E246,M$4),_xlpm.feriados,IF($H246="CO",FER_CO,FER_EC),_xlpm.dias,IF(_xlpm.inicio&gt;_xlpm.fin,0,NETWORKDAYS(_xlpm.inicio,_xlpm.fin,_xlpm.feriados)),_xlpm.factor,IF($G246="Probable",IF(Parametros!$B$6="Sí",1,0),1),IF(OR($A246="",$D246="",$E246=""),0,_xlpm.dias*$I246*_xlpm.factor))</f>
        <v/>
      </c>
      <c r="N246" s="33">
        <f>_xlfn.LET(_xlpm.inicio,MAX($D246,N$3),_xlpm.fin,MIN($E246,N$4),_xlpm.feriados,IF($H246="CO",FER_CO,FER_EC),_xlpm.dias,IF(_xlpm.inicio&gt;_xlpm.fin,0,NETWORKDAYS(_xlpm.inicio,_xlpm.fin,_xlpm.feriados)),_xlpm.factor,IF($G246="Probable",IF(Parametros!$B$6="Sí",1,0),1),IF(OR($A246="",$D246="",$E246=""),0,_xlpm.dias*$I246*_xlpm.factor))</f>
        <v/>
      </c>
      <c r="O246" s="33">
        <f>_xlfn.LET(_xlpm.inicio,MAX($D246,O$3),_xlpm.fin,MIN($E246,O$4),_xlpm.feriados,IF($H246="CO",FER_CO,FER_EC),_xlpm.dias,IF(_xlpm.inicio&gt;_xlpm.fin,0,NETWORKDAYS(_xlpm.inicio,_xlpm.fin,_xlpm.feriados)),_xlpm.factor,IF($G246="Probable",IF(Parametros!$B$6="Sí",1,0),1),IF(OR($A246="",$D246="",$E246=""),0,_xlpm.dias*$I246*_xlpm.factor))</f>
        <v/>
      </c>
      <c r="P246" s="34">
        <f>_xlfn.LET(_xlpm.horas,J246,_xlpm.feriados,IF($H246="CO",FER_CO,FER_EC),_xlpm.capacidad,NETWORKDAYS(J$3,J$4,_xlpm.feriados)*INDEX(Consultores!$C$6:$C$65,MATCH($A246,Consultores!$A$6:$A$65,0)),IF(_xlpm.horas=0,"",IFERROR(_xlpm.horas/_xlpm.capacidad,"")))</f>
        <v/>
      </c>
      <c r="Q246" s="34">
        <f>_xlfn.LET(_xlpm.horas,K246,_xlpm.feriados,IF($H246="CO",FER_CO,FER_EC),_xlpm.capacidad,NETWORKDAYS(K$3,K$4,_xlpm.feriados)*INDEX(Consultores!$C$6:$C$65,MATCH($A246,Consultores!$A$6:$A$65,0)),IF(_xlpm.horas=0,"",IFERROR(_xlpm.horas/_xlpm.capacidad,"")))</f>
        <v/>
      </c>
      <c r="R246" s="34">
        <f>_xlfn.LET(_xlpm.horas,L246,_xlpm.feriados,IF($H246="CO",FER_CO,FER_EC),_xlpm.capacidad,NETWORKDAYS(L$3,L$4,_xlpm.feriados)*INDEX(Consultores!$C$6:$C$65,MATCH($A246,Consultores!$A$6:$A$65,0)),IF(_xlpm.horas=0,"",IFERROR(_xlpm.horas/_xlpm.capacidad,"")))</f>
        <v/>
      </c>
      <c r="S246" s="34">
        <f>_xlfn.LET(_xlpm.horas,M246,_xlpm.feriados,IF($H246="CO",FER_CO,FER_EC),_xlpm.capacidad,NETWORKDAYS(M$3,M$4,_xlpm.feriados)*INDEX(Consultores!$C$6:$C$65,MATCH($A246,Consultores!$A$6:$A$65,0)),IF(_xlpm.horas=0,"",IFERROR(_xlpm.horas/_xlpm.capacidad,"")))</f>
        <v/>
      </c>
      <c r="T246" s="34">
        <f>_xlfn.LET(_xlpm.horas,N246,_xlpm.feriados,IF($H246="CO",FER_CO,FER_EC),_xlpm.capacidad,NETWORKDAYS(N$3,N$4,_xlpm.feriados)*INDEX(Consultores!$C$6:$C$65,MATCH($A246,Consultores!$A$6:$A$65,0)),IF(_xlpm.horas=0,"",IFERROR(_xlpm.horas/_xlpm.capacidad,"")))</f>
        <v/>
      </c>
      <c r="U246" s="34">
        <f>_xlfn.LET(_xlpm.horas,O246,_xlpm.feriados,IF($H246="CO",FER_CO,FER_EC),_xlpm.capacidad,NETWORKDAYS(O$3,O$4,_xlpm.feriados)*INDEX(Consultores!$C$6:$C$65,MATCH($A246,Consultores!$A$6:$A$65,0)),IF(_xlpm.horas=0,"",IFERROR(_xlpm.horas/_xlpm.capacidad,"")))</f>
        <v/>
      </c>
    </row>
    <row r="247">
      <c r="A247" s="25" t="n"/>
      <c r="B247" s="25" t="n"/>
      <c r="C247" s="25" t="n"/>
      <c r="D247" s="30" t="n"/>
      <c r="E247" s="30" t="n"/>
      <c r="F247" s="26" t="n"/>
      <c r="G247" s="25" t="n"/>
      <c r="H247" s="31">
        <f>IF($A247="","",IFERROR(INDEX(Consultores!$B$6:$B$65,MATCH($A247,Consultores!$A$6:$A$65,0)),"No existe"))</f>
        <v/>
      </c>
      <c r="I247" s="32">
        <f>IF($F247="",0,$F247/5)</f>
        <v/>
      </c>
      <c r="J247" s="33">
        <f>_xlfn.LET(_xlpm.inicio,MAX($D247,J$3),_xlpm.fin,MIN($E247,J$4),_xlpm.feriados,IF($H247="CO",FER_CO,FER_EC),_xlpm.dias,IF(_xlpm.inicio&gt;_xlpm.fin,0,NETWORKDAYS(_xlpm.inicio,_xlpm.fin,_xlpm.feriados)),_xlpm.factor,IF($G247="Probable",IF(Parametros!$B$6="Sí",1,0),1),IF(OR($A247="",$D247="",$E247=""),0,_xlpm.dias*$I247*_xlpm.factor))</f>
        <v/>
      </c>
      <c r="K247" s="33">
        <f>_xlfn.LET(_xlpm.inicio,MAX($D247,K$3),_xlpm.fin,MIN($E247,K$4),_xlpm.feriados,IF($H247="CO",FER_CO,FER_EC),_xlpm.dias,IF(_xlpm.inicio&gt;_xlpm.fin,0,NETWORKDAYS(_xlpm.inicio,_xlpm.fin,_xlpm.feriados)),_xlpm.factor,IF($G247="Probable",IF(Parametros!$B$6="Sí",1,0),1),IF(OR($A247="",$D247="",$E247=""),0,_xlpm.dias*$I247*_xlpm.factor))</f>
        <v/>
      </c>
      <c r="L247" s="33">
        <f>_xlfn.LET(_xlpm.inicio,MAX($D247,L$3),_xlpm.fin,MIN($E247,L$4),_xlpm.feriados,IF($H247="CO",FER_CO,FER_EC),_xlpm.dias,IF(_xlpm.inicio&gt;_xlpm.fin,0,NETWORKDAYS(_xlpm.inicio,_xlpm.fin,_xlpm.feriados)),_xlpm.factor,IF($G247="Probable",IF(Parametros!$B$6="Sí",1,0),1),IF(OR($A247="",$D247="",$E247=""),0,_xlpm.dias*$I247*_xlpm.factor))</f>
        <v/>
      </c>
      <c r="M247" s="33">
        <f>_xlfn.LET(_xlpm.inicio,MAX($D247,M$3),_xlpm.fin,MIN($E247,M$4),_xlpm.feriados,IF($H247="CO",FER_CO,FER_EC),_xlpm.dias,IF(_xlpm.inicio&gt;_xlpm.fin,0,NETWORKDAYS(_xlpm.inicio,_xlpm.fin,_xlpm.feriados)),_xlpm.factor,IF($G247="Probable",IF(Parametros!$B$6="Sí",1,0),1),IF(OR($A247="",$D247="",$E247=""),0,_xlpm.dias*$I247*_xlpm.factor))</f>
        <v/>
      </c>
      <c r="N247" s="33">
        <f>_xlfn.LET(_xlpm.inicio,MAX($D247,N$3),_xlpm.fin,MIN($E247,N$4),_xlpm.feriados,IF($H247="CO",FER_CO,FER_EC),_xlpm.dias,IF(_xlpm.inicio&gt;_xlpm.fin,0,NETWORKDAYS(_xlpm.inicio,_xlpm.fin,_xlpm.feriados)),_xlpm.factor,IF($G247="Probable",IF(Parametros!$B$6="Sí",1,0),1),IF(OR($A247="",$D247="",$E247=""),0,_xlpm.dias*$I247*_xlpm.factor))</f>
        <v/>
      </c>
      <c r="O247" s="33">
        <f>_xlfn.LET(_xlpm.inicio,MAX($D247,O$3),_xlpm.fin,MIN($E247,O$4),_xlpm.feriados,IF($H247="CO",FER_CO,FER_EC),_xlpm.dias,IF(_xlpm.inicio&gt;_xlpm.fin,0,NETWORKDAYS(_xlpm.inicio,_xlpm.fin,_xlpm.feriados)),_xlpm.factor,IF($G247="Probable",IF(Parametros!$B$6="Sí",1,0),1),IF(OR($A247="",$D247="",$E247=""),0,_xlpm.dias*$I247*_xlpm.factor))</f>
        <v/>
      </c>
      <c r="P247" s="34">
        <f>_xlfn.LET(_xlpm.horas,J247,_xlpm.feriados,IF($H247="CO",FER_CO,FER_EC),_xlpm.capacidad,NETWORKDAYS(J$3,J$4,_xlpm.feriados)*INDEX(Consultores!$C$6:$C$65,MATCH($A247,Consultores!$A$6:$A$65,0)),IF(_xlpm.horas=0,"",IFERROR(_xlpm.horas/_xlpm.capacidad,"")))</f>
        <v/>
      </c>
      <c r="Q247" s="34">
        <f>_xlfn.LET(_xlpm.horas,K247,_xlpm.feriados,IF($H247="CO",FER_CO,FER_EC),_xlpm.capacidad,NETWORKDAYS(K$3,K$4,_xlpm.feriados)*INDEX(Consultores!$C$6:$C$65,MATCH($A247,Consultores!$A$6:$A$65,0)),IF(_xlpm.horas=0,"",IFERROR(_xlpm.horas/_xlpm.capacidad,"")))</f>
        <v/>
      </c>
      <c r="R247" s="34">
        <f>_xlfn.LET(_xlpm.horas,L247,_xlpm.feriados,IF($H247="CO",FER_CO,FER_EC),_xlpm.capacidad,NETWORKDAYS(L$3,L$4,_xlpm.feriados)*INDEX(Consultores!$C$6:$C$65,MATCH($A247,Consultores!$A$6:$A$65,0)),IF(_xlpm.horas=0,"",IFERROR(_xlpm.horas/_xlpm.capacidad,"")))</f>
        <v/>
      </c>
      <c r="S247" s="34">
        <f>_xlfn.LET(_xlpm.horas,M247,_xlpm.feriados,IF($H247="CO",FER_CO,FER_EC),_xlpm.capacidad,NETWORKDAYS(M$3,M$4,_xlpm.feriados)*INDEX(Consultores!$C$6:$C$65,MATCH($A247,Consultores!$A$6:$A$65,0)),IF(_xlpm.horas=0,"",IFERROR(_xlpm.horas/_xlpm.capacidad,"")))</f>
        <v/>
      </c>
      <c r="T247" s="34">
        <f>_xlfn.LET(_xlpm.horas,N247,_xlpm.feriados,IF($H247="CO",FER_CO,FER_EC),_xlpm.capacidad,NETWORKDAYS(N$3,N$4,_xlpm.feriados)*INDEX(Consultores!$C$6:$C$65,MATCH($A247,Consultores!$A$6:$A$65,0)),IF(_xlpm.horas=0,"",IFERROR(_xlpm.horas/_xlpm.capacidad,"")))</f>
        <v/>
      </c>
      <c r="U247" s="34">
        <f>_xlfn.LET(_xlpm.horas,O247,_xlpm.feriados,IF($H247="CO",FER_CO,FER_EC),_xlpm.capacidad,NETWORKDAYS(O$3,O$4,_xlpm.feriados)*INDEX(Consultores!$C$6:$C$65,MATCH($A247,Consultores!$A$6:$A$65,0)),IF(_xlpm.horas=0,"",IFERROR(_xlpm.horas/_xlpm.capacidad,"")))</f>
        <v/>
      </c>
    </row>
    <row r="248">
      <c r="A248" s="25" t="n"/>
      <c r="B248" s="25" t="n"/>
      <c r="C248" s="25" t="n"/>
      <c r="D248" s="30" t="n"/>
      <c r="E248" s="30" t="n"/>
      <c r="F248" s="26" t="n"/>
      <c r="G248" s="25" t="n"/>
      <c r="H248" s="31">
        <f>IF($A248="","",IFERROR(INDEX(Consultores!$B$6:$B$65,MATCH($A248,Consultores!$A$6:$A$65,0)),"No existe"))</f>
        <v/>
      </c>
      <c r="I248" s="32">
        <f>IF($F248="",0,$F248/5)</f>
        <v/>
      </c>
      <c r="J248" s="33">
        <f>_xlfn.LET(_xlpm.inicio,MAX($D248,J$3),_xlpm.fin,MIN($E248,J$4),_xlpm.feriados,IF($H248="CO",FER_CO,FER_EC),_xlpm.dias,IF(_xlpm.inicio&gt;_xlpm.fin,0,NETWORKDAYS(_xlpm.inicio,_xlpm.fin,_xlpm.feriados)),_xlpm.factor,IF($G248="Probable",IF(Parametros!$B$6="Sí",1,0),1),IF(OR($A248="",$D248="",$E248=""),0,_xlpm.dias*$I248*_xlpm.factor))</f>
        <v/>
      </c>
      <c r="K248" s="33">
        <f>_xlfn.LET(_xlpm.inicio,MAX($D248,K$3),_xlpm.fin,MIN($E248,K$4),_xlpm.feriados,IF($H248="CO",FER_CO,FER_EC),_xlpm.dias,IF(_xlpm.inicio&gt;_xlpm.fin,0,NETWORKDAYS(_xlpm.inicio,_xlpm.fin,_xlpm.feriados)),_xlpm.factor,IF($G248="Probable",IF(Parametros!$B$6="Sí",1,0),1),IF(OR($A248="",$D248="",$E248=""),0,_xlpm.dias*$I248*_xlpm.factor))</f>
        <v/>
      </c>
      <c r="L248" s="33">
        <f>_xlfn.LET(_xlpm.inicio,MAX($D248,L$3),_xlpm.fin,MIN($E248,L$4),_xlpm.feriados,IF($H248="CO",FER_CO,FER_EC),_xlpm.dias,IF(_xlpm.inicio&gt;_xlpm.fin,0,NETWORKDAYS(_xlpm.inicio,_xlpm.fin,_xlpm.feriados)),_xlpm.factor,IF($G248="Probable",IF(Parametros!$B$6="Sí",1,0),1),IF(OR($A248="",$D248="",$E248=""),0,_xlpm.dias*$I248*_xlpm.factor))</f>
        <v/>
      </c>
      <c r="M248" s="33">
        <f>_xlfn.LET(_xlpm.inicio,MAX($D248,M$3),_xlpm.fin,MIN($E248,M$4),_xlpm.feriados,IF($H248="CO",FER_CO,FER_EC),_xlpm.dias,IF(_xlpm.inicio&gt;_xlpm.fin,0,NETWORKDAYS(_xlpm.inicio,_xlpm.fin,_xlpm.feriados)),_xlpm.factor,IF($G248="Probable",IF(Parametros!$B$6="Sí",1,0),1),IF(OR($A248="",$D248="",$E248=""),0,_xlpm.dias*$I248*_xlpm.factor))</f>
        <v/>
      </c>
      <c r="N248" s="33">
        <f>_xlfn.LET(_xlpm.inicio,MAX($D248,N$3),_xlpm.fin,MIN($E248,N$4),_xlpm.feriados,IF($H248="CO",FER_CO,FER_EC),_xlpm.dias,IF(_xlpm.inicio&gt;_xlpm.fin,0,NETWORKDAYS(_xlpm.inicio,_xlpm.fin,_xlpm.feriados)),_xlpm.factor,IF($G248="Probable",IF(Parametros!$B$6="Sí",1,0),1),IF(OR($A248="",$D248="",$E248=""),0,_xlpm.dias*$I248*_xlpm.factor))</f>
        <v/>
      </c>
      <c r="O248" s="33">
        <f>_xlfn.LET(_xlpm.inicio,MAX($D248,O$3),_xlpm.fin,MIN($E248,O$4),_xlpm.feriados,IF($H248="CO",FER_CO,FER_EC),_xlpm.dias,IF(_xlpm.inicio&gt;_xlpm.fin,0,NETWORKDAYS(_xlpm.inicio,_xlpm.fin,_xlpm.feriados)),_xlpm.factor,IF($G248="Probable",IF(Parametros!$B$6="Sí",1,0),1),IF(OR($A248="",$D248="",$E248=""),0,_xlpm.dias*$I248*_xlpm.factor))</f>
        <v/>
      </c>
      <c r="P248" s="34">
        <f>_xlfn.LET(_xlpm.horas,J248,_xlpm.feriados,IF($H248="CO",FER_CO,FER_EC),_xlpm.capacidad,NETWORKDAYS(J$3,J$4,_xlpm.feriados)*INDEX(Consultores!$C$6:$C$65,MATCH($A248,Consultores!$A$6:$A$65,0)),IF(_xlpm.horas=0,"",IFERROR(_xlpm.horas/_xlpm.capacidad,"")))</f>
        <v/>
      </c>
      <c r="Q248" s="34">
        <f>_xlfn.LET(_xlpm.horas,K248,_xlpm.feriados,IF($H248="CO",FER_CO,FER_EC),_xlpm.capacidad,NETWORKDAYS(K$3,K$4,_xlpm.feriados)*INDEX(Consultores!$C$6:$C$65,MATCH($A248,Consultores!$A$6:$A$65,0)),IF(_xlpm.horas=0,"",IFERROR(_xlpm.horas/_xlpm.capacidad,"")))</f>
        <v/>
      </c>
      <c r="R248" s="34">
        <f>_xlfn.LET(_xlpm.horas,L248,_xlpm.feriados,IF($H248="CO",FER_CO,FER_EC),_xlpm.capacidad,NETWORKDAYS(L$3,L$4,_xlpm.feriados)*INDEX(Consultores!$C$6:$C$65,MATCH($A248,Consultores!$A$6:$A$65,0)),IF(_xlpm.horas=0,"",IFERROR(_xlpm.horas/_xlpm.capacidad,"")))</f>
        <v/>
      </c>
      <c r="S248" s="34">
        <f>_xlfn.LET(_xlpm.horas,M248,_xlpm.feriados,IF($H248="CO",FER_CO,FER_EC),_xlpm.capacidad,NETWORKDAYS(M$3,M$4,_xlpm.feriados)*INDEX(Consultores!$C$6:$C$65,MATCH($A248,Consultores!$A$6:$A$65,0)),IF(_xlpm.horas=0,"",IFERROR(_xlpm.horas/_xlpm.capacidad,"")))</f>
        <v/>
      </c>
      <c r="T248" s="34">
        <f>_xlfn.LET(_xlpm.horas,N248,_xlpm.feriados,IF($H248="CO",FER_CO,FER_EC),_xlpm.capacidad,NETWORKDAYS(N$3,N$4,_xlpm.feriados)*INDEX(Consultores!$C$6:$C$65,MATCH($A248,Consultores!$A$6:$A$65,0)),IF(_xlpm.horas=0,"",IFERROR(_xlpm.horas/_xlpm.capacidad,"")))</f>
        <v/>
      </c>
      <c r="U248" s="34">
        <f>_xlfn.LET(_xlpm.horas,O248,_xlpm.feriados,IF($H248="CO",FER_CO,FER_EC),_xlpm.capacidad,NETWORKDAYS(O$3,O$4,_xlpm.feriados)*INDEX(Consultores!$C$6:$C$65,MATCH($A248,Consultores!$A$6:$A$65,0)),IF(_xlpm.horas=0,"",IFERROR(_xlpm.horas/_xlpm.capacidad,"")))</f>
        <v/>
      </c>
    </row>
    <row r="249">
      <c r="A249" s="25" t="n"/>
      <c r="B249" s="25" t="n"/>
      <c r="C249" s="25" t="n"/>
      <c r="D249" s="30" t="n"/>
      <c r="E249" s="30" t="n"/>
      <c r="F249" s="26" t="n"/>
      <c r="G249" s="25" t="n"/>
      <c r="H249" s="31">
        <f>IF($A249="","",IFERROR(INDEX(Consultores!$B$6:$B$65,MATCH($A249,Consultores!$A$6:$A$65,0)),"No existe"))</f>
        <v/>
      </c>
      <c r="I249" s="32">
        <f>IF($F249="",0,$F249/5)</f>
        <v/>
      </c>
      <c r="J249" s="33">
        <f>_xlfn.LET(_xlpm.inicio,MAX($D249,J$3),_xlpm.fin,MIN($E249,J$4),_xlpm.feriados,IF($H249="CO",FER_CO,FER_EC),_xlpm.dias,IF(_xlpm.inicio&gt;_xlpm.fin,0,NETWORKDAYS(_xlpm.inicio,_xlpm.fin,_xlpm.feriados)),_xlpm.factor,IF($G249="Probable",IF(Parametros!$B$6="Sí",1,0),1),IF(OR($A249="",$D249="",$E249=""),0,_xlpm.dias*$I249*_xlpm.factor))</f>
        <v/>
      </c>
      <c r="K249" s="33">
        <f>_xlfn.LET(_xlpm.inicio,MAX($D249,K$3),_xlpm.fin,MIN($E249,K$4),_xlpm.feriados,IF($H249="CO",FER_CO,FER_EC),_xlpm.dias,IF(_xlpm.inicio&gt;_xlpm.fin,0,NETWORKDAYS(_xlpm.inicio,_xlpm.fin,_xlpm.feriados)),_xlpm.factor,IF($G249="Probable",IF(Parametros!$B$6="Sí",1,0),1),IF(OR($A249="",$D249="",$E249=""),0,_xlpm.dias*$I249*_xlpm.factor))</f>
        <v/>
      </c>
      <c r="L249" s="33">
        <f>_xlfn.LET(_xlpm.inicio,MAX($D249,L$3),_xlpm.fin,MIN($E249,L$4),_xlpm.feriados,IF($H249="CO",FER_CO,FER_EC),_xlpm.dias,IF(_xlpm.inicio&gt;_xlpm.fin,0,NETWORKDAYS(_xlpm.inicio,_xlpm.fin,_xlpm.feriados)),_xlpm.factor,IF($G249="Probable",IF(Parametros!$B$6="Sí",1,0),1),IF(OR($A249="",$D249="",$E249=""),0,_xlpm.dias*$I249*_xlpm.factor))</f>
        <v/>
      </c>
      <c r="M249" s="33">
        <f>_xlfn.LET(_xlpm.inicio,MAX($D249,M$3),_xlpm.fin,MIN($E249,M$4),_xlpm.feriados,IF($H249="CO",FER_CO,FER_EC),_xlpm.dias,IF(_xlpm.inicio&gt;_xlpm.fin,0,NETWORKDAYS(_xlpm.inicio,_xlpm.fin,_xlpm.feriados)),_xlpm.factor,IF($G249="Probable",IF(Parametros!$B$6="Sí",1,0),1),IF(OR($A249="",$D249="",$E249=""),0,_xlpm.dias*$I249*_xlpm.factor))</f>
        <v/>
      </c>
      <c r="N249" s="33">
        <f>_xlfn.LET(_xlpm.inicio,MAX($D249,N$3),_xlpm.fin,MIN($E249,N$4),_xlpm.feriados,IF($H249="CO",FER_CO,FER_EC),_xlpm.dias,IF(_xlpm.inicio&gt;_xlpm.fin,0,NETWORKDAYS(_xlpm.inicio,_xlpm.fin,_xlpm.feriados)),_xlpm.factor,IF($G249="Probable",IF(Parametros!$B$6="Sí",1,0),1),IF(OR($A249="",$D249="",$E249=""),0,_xlpm.dias*$I249*_xlpm.factor))</f>
        <v/>
      </c>
      <c r="O249" s="33">
        <f>_xlfn.LET(_xlpm.inicio,MAX($D249,O$3),_xlpm.fin,MIN($E249,O$4),_xlpm.feriados,IF($H249="CO",FER_CO,FER_EC),_xlpm.dias,IF(_xlpm.inicio&gt;_xlpm.fin,0,NETWORKDAYS(_xlpm.inicio,_xlpm.fin,_xlpm.feriados)),_xlpm.factor,IF($G249="Probable",IF(Parametros!$B$6="Sí",1,0),1),IF(OR($A249="",$D249="",$E249=""),0,_xlpm.dias*$I249*_xlpm.factor))</f>
        <v/>
      </c>
      <c r="P249" s="34">
        <f>_xlfn.LET(_xlpm.horas,J249,_xlpm.feriados,IF($H249="CO",FER_CO,FER_EC),_xlpm.capacidad,NETWORKDAYS(J$3,J$4,_xlpm.feriados)*INDEX(Consultores!$C$6:$C$65,MATCH($A249,Consultores!$A$6:$A$65,0)),IF(_xlpm.horas=0,"",IFERROR(_xlpm.horas/_xlpm.capacidad,"")))</f>
        <v/>
      </c>
      <c r="Q249" s="34">
        <f>_xlfn.LET(_xlpm.horas,K249,_xlpm.feriados,IF($H249="CO",FER_CO,FER_EC),_xlpm.capacidad,NETWORKDAYS(K$3,K$4,_xlpm.feriados)*INDEX(Consultores!$C$6:$C$65,MATCH($A249,Consultores!$A$6:$A$65,0)),IF(_xlpm.horas=0,"",IFERROR(_xlpm.horas/_xlpm.capacidad,"")))</f>
        <v/>
      </c>
      <c r="R249" s="34">
        <f>_xlfn.LET(_xlpm.horas,L249,_xlpm.feriados,IF($H249="CO",FER_CO,FER_EC),_xlpm.capacidad,NETWORKDAYS(L$3,L$4,_xlpm.feriados)*INDEX(Consultores!$C$6:$C$65,MATCH($A249,Consultores!$A$6:$A$65,0)),IF(_xlpm.horas=0,"",IFERROR(_xlpm.horas/_xlpm.capacidad,"")))</f>
        <v/>
      </c>
      <c r="S249" s="34">
        <f>_xlfn.LET(_xlpm.horas,M249,_xlpm.feriados,IF($H249="CO",FER_CO,FER_EC),_xlpm.capacidad,NETWORKDAYS(M$3,M$4,_xlpm.feriados)*INDEX(Consultores!$C$6:$C$65,MATCH($A249,Consultores!$A$6:$A$65,0)),IF(_xlpm.horas=0,"",IFERROR(_xlpm.horas/_xlpm.capacidad,"")))</f>
        <v/>
      </c>
      <c r="T249" s="34">
        <f>_xlfn.LET(_xlpm.horas,N249,_xlpm.feriados,IF($H249="CO",FER_CO,FER_EC),_xlpm.capacidad,NETWORKDAYS(N$3,N$4,_xlpm.feriados)*INDEX(Consultores!$C$6:$C$65,MATCH($A249,Consultores!$A$6:$A$65,0)),IF(_xlpm.horas=0,"",IFERROR(_xlpm.horas/_xlpm.capacidad,"")))</f>
        <v/>
      </c>
      <c r="U249" s="34">
        <f>_xlfn.LET(_xlpm.horas,O249,_xlpm.feriados,IF($H249="CO",FER_CO,FER_EC),_xlpm.capacidad,NETWORKDAYS(O$3,O$4,_xlpm.feriados)*INDEX(Consultores!$C$6:$C$65,MATCH($A249,Consultores!$A$6:$A$65,0)),IF(_xlpm.horas=0,"",IFERROR(_xlpm.horas/_xlpm.capacidad,"")))</f>
        <v/>
      </c>
    </row>
    <row r="250">
      <c r="A250" s="25" t="n"/>
      <c r="B250" s="25" t="n"/>
      <c r="C250" s="25" t="n"/>
      <c r="D250" s="30" t="n"/>
      <c r="E250" s="30" t="n"/>
      <c r="F250" s="26" t="n"/>
      <c r="G250" s="25" t="n"/>
      <c r="H250" s="31">
        <f>IF($A250="","",IFERROR(INDEX(Consultores!$B$6:$B$65,MATCH($A250,Consultores!$A$6:$A$65,0)),"No existe"))</f>
        <v/>
      </c>
      <c r="I250" s="32">
        <f>IF($F250="",0,$F250/5)</f>
        <v/>
      </c>
      <c r="J250" s="33">
        <f>_xlfn.LET(_xlpm.inicio,MAX($D250,J$3),_xlpm.fin,MIN($E250,J$4),_xlpm.feriados,IF($H250="CO",FER_CO,FER_EC),_xlpm.dias,IF(_xlpm.inicio&gt;_xlpm.fin,0,NETWORKDAYS(_xlpm.inicio,_xlpm.fin,_xlpm.feriados)),_xlpm.factor,IF($G250="Probable",IF(Parametros!$B$6="Sí",1,0),1),IF(OR($A250="",$D250="",$E250=""),0,_xlpm.dias*$I250*_xlpm.factor))</f>
        <v/>
      </c>
      <c r="K250" s="33">
        <f>_xlfn.LET(_xlpm.inicio,MAX($D250,K$3),_xlpm.fin,MIN($E250,K$4),_xlpm.feriados,IF($H250="CO",FER_CO,FER_EC),_xlpm.dias,IF(_xlpm.inicio&gt;_xlpm.fin,0,NETWORKDAYS(_xlpm.inicio,_xlpm.fin,_xlpm.feriados)),_xlpm.factor,IF($G250="Probable",IF(Parametros!$B$6="Sí",1,0),1),IF(OR($A250="",$D250="",$E250=""),0,_xlpm.dias*$I250*_xlpm.factor))</f>
        <v/>
      </c>
      <c r="L250" s="33">
        <f>_xlfn.LET(_xlpm.inicio,MAX($D250,L$3),_xlpm.fin,MIN($E250,L$4),_xlpm.feriados,IF($H250="CO",FER_CO,FER_EC),_xlpm.dias,IF(_xlpm.inicio&gt;_xlpm.fin,0,NETWORKDAYS(_xlpm.inicio,_xlpm.fin,_xlpm.feriados)),_xlpm.factor,IF($G250="Probable",IF(Parametros!$B$6="Sí",1,0),1),IF(OR($A250="",$D250="",$E250=""),0,_xlpm.dias*$I250*_xlpm.factor))</f>
        <v/>
      </c>
      <c r="M250" s="33">
        <f>_xlfn.LET(_xlpm.inicio,MAX($D250,M$3),_xlpm.fin,MIN($E250,M$4),_xlpm.feriados,IF($H250="CO",FER_CO,FER_EC),_xlpm.dias,IF(_xlpm.inicio&gt;_xlpm.fin,0,NETWORKDAYS(_xlpm.inicio,_xlpm.fin,_xlpm.feriados)),_xlpm.factor,IF($G250="Probable",IF(Parametros!$B$6="Sí",1,0),1),IF(OR($A250="",$D250="",$E250=""),0,_xlpm.dias*$I250*_xlpm.factor))</f>
        <v/>
      </c>
      <c r="N250" s="33">
        <f>_xlfn.LET(_xlpm.inicio,MAX($D250,N$3),_xlpm.fin,MIN($E250,N$4),_xlpm.feriados,IF($H250="CO",FER_CO,FER_EC),_xlpm.dias,IF(_xlpm.inicio&gt;_xlpm.fin,0,NETWORKDAYS(_xlpm.inicio,_xlpm.fin,_xlpm.feriados)),_xlpm.factor,IF($G250="Probable",IF(Parametros!$B$6="Sí",1,0),1),IF(OR($A250="",$D250="",$E250=""),0,_xlpm.dias*$I250*_xlpm.factor))</f>
        <v/>
      </c>
      <c r="O250" s="33">
        <f>_xlfn.LET(_xlpm.inicio,MAX($D250,O$3),_xlpm.fin,MIN($E250,O$4),_xlpm.feriados,IF($H250="CO",FER_CO,FER_EC),_xlpm.dias,IF(_xlpm.inicio&gt;_xlpm.fin,0,NETWORKDAYS(_xlpm.inicio,_xlpm.fin,_xlpm.feriados)),_xlpm.factor,IF($G250="Probable",IF(Parametros!$B$6="Sí",1,0),1),IF(OR($A250="",$D250="",$E250=""),0,_xlpm.dias*$I250*_xlpm.factor))</f>
        <v/>
      </c>
      <c r="P250" s="34">
        <f>_xlfn.LET(_xlpm.horas,J250,_xlpm.feriados,IF($H250="CO",FER_CO,FER_EC),_xlpm.capacidad,NETWORKDAYS(J$3,J$4,_xlpm.feriados)*INDEX(Consultores!$C$6:$C$65,MATCH($A250,Consultores!$A$6:$A$65,0)),IF(_xlpm.horas=0,"",IFERROR(_xlpm.horas/_xlpm.capacidad,"")))</f>
        <v/>
      </c>
      <c r="Q250" s="34">
        <f>_xlfn.LET(_xlpm.horas,K250,_xlpm.feriados,IF($H250="CO",FER_CO,FER_EC),_xlpm.capacidad,NETWORKDAYS(K$3,K$4,_xlpm.feriados)*INDEX(Consultores!$C$6:$C$65,MATCH($A250,Consultores!$A$6:$A$65,0)),IF(_xlpm.horas=0,"",IFERROR(_xlpm.horas/_xlpm.capacidad,"")))</f>
        <v/>
      </c>
      <c r="R250" s="34">
        <f>_xlfn.LET(_xlpm.horas,L250,_xlpm.feriados,IF($H250="CO",FER_CO,FER_EC),_xlpm.capacidad,NETWORKDAYS(L$3,L$4,_xlpm.feriados)*INDEX(Consultores!$C$6:$C$65,MATCH($A250,Consultores!$A$6:$A$65,0)),IF(_xlpm.horas=0,"",IFERROR(_xlpm.horas/_xlpm.capacidad,"")))</f>
        <v/>
      </c>
      <c r="S250" s="34">
        <f>_xlfn.LET(_xlpm.horas,M250,_xlpm.feriados,IF($H250="CO",FER_CO,FER_EC),_xlpm.capacidad,NETWORKDAYS(M$3,M$4,_xlpm.feriados)*INDEX(Consultores!$C$6:$C$65,MATCH($A250,Consultores!$A$6:$A$65,0)),IF(_xlpm.horas=0,"",IFERROR(_xlpm.horas/_xlpm.capacidad,"")))</f>
        <v/>
      </c>
      <c r="T250" s="34">
        <f>_xlfn.LET(_xlpm.horas,N250,_xlpm.feriados,IF($H250="CO",FER_CO,FER_EC),_xlpm.capacidad,NETWORKDAYS(N$3,N$4,_xlpm.feriados)*INDEX(Consultores!$C$6:$C$65,MATCH($A250,Consultores!$A$6:$A$65,0)),IF(_xlpm.horas=0,"",IFERROR(_xlpm.horas/_xlpm.capacidad,"")))</f>
        <v/>
      </c>
      <c r="U250" s="34">
        <f>_xlfn.LET(_xlpm.horas,O250,_xlpm.feriados,IF($H250="CO",FER_CO,FER_EC),_xlpm.capacidad,NETWORKDAYS(O$3,O$4,_xlpm.feriados)*INDEX(Consultores!$C$6:$C$65,MATCH($A250,Consultores!$A$6:$A$65,0)),IF(_xlpm.horas=0,"",IFERROR(_xlpm.horas/_xlpm.capacidad,"")))</f>
        <v/>
      </c>
    </row>
    <row r="251">
      <c r="A251" s="25" t="n"/>
      <c r="B251" s="25" t="n"/>
      <c r="C251" s="25" t="n"/>
      <c r="D251" s="30" t="n"/>
      <c r="E251" s="30" t="n"/>
      <c r="F251" s="26" t="n"/>
      <c r="G251" s="25" t="n"/>
      <c r="H251" s="31">
        <f>IF($A251="","",IFERROR(INDEX(Consultores!$B$6:$B$65,MATCH($A251,Consultores!$A$6:$A$65,0)),"No existe"))</f>
        <v/>
      </c>
      <c r="I251" s="32">
        <f>IF($F251="",0,$F251/5)</f>
        <v/>
      </c>
      <c r="J251" s="33">
        <f>_xlfn.LET(_xlpm.inicio,MAX($D251,J$3),_xlpm.fin,MIN($E251,J$4),_xlpm.feriados,IF($H251="CO",FER_CO,FER_EC),_xlpm.dias,IF(_xlpm.inicio&gt;_xlpm.fin,0,NETWORKDAYS(_xlpm.inicio,_xlpm.fin,_xlpm.feriados)),_xlpm.factor,IF($G251="Probable",IF(Parametros!$B$6="Sí",1,0),1),IF(OR($A251="",$D251="",$E251=""),0,_xlpm.dias*$I251*_xlpm.factor))</f>
        <v/>
      </c>
      <c r="K251" s="33">
        <f>_xlfn.LET(_xlpm.inicio,MAX($D251,K$3),_xlpm.fin,MIN($E251,K$4),_xlpm.feriados,IF($H251="CO",FER_CO,FER_EC),_xlpm.dias,IF(_xlpm.inicio&gt;_xlpm.fin,0,NETWORKDAYS(_xlpm.inicio,_xlpm.fin,_xlpm.feriados)),_xlpm.factor,IF($G251="Probable",IF(Parametros!$B$6="Sí",1,0),1),IF(OR($A251="",$D251="",$E251=""),0,_xlpm.dias*$I251*_xlpm.factor))</f>
        <v/>
      </c>
      <c r="L251" s="33">
        <f>_xlfn.LET(_xlpm.inicio,MAX($D251,L$3),_xlpm.fin,MIN($E251,L$4),_xlpm.feriados,IF($H251="CO",FER_CO,FER_EC),_xlpm.dias,IF(_xlpm.inicio&gt;_xlpm.fin,0,NETWORKDAYS(_xlpm.inicio,_xlpm.fin,_xlpm.feriados)),_xlpm.factor,IF($G251="Probable",IF(Parametros!$B$6="Sí",1,0),1),IF(OR($A251="",$D251="",$E251=""),0,_xlpm.dias*$I251*_xlpm.factor))</f>
        <v/>
      </c>
      <c r="M251" s="33">
        <f>_xlfn.LET(_xlpm.inicio,MAX($D251,M$3),_xlpm.fin,MIN($E251,M$4),_xlpm.feriados,IF($H251="CO",FER_CO,FER_EC),_xlpm.dias,IF(_xlpm.inicio&gt;_xlpm.fin,0,NETWORKDAYS(_xlpm.inicio,_xlpm.fin,_xlpm.feriados)),_xlpm.factor,IF($G251="Probable",IF(Parametros!$B$6="Sí",1,0),1),IF(OR($A251="",$D251="",$E251=""),0,_xlpm.dias*$I251*_xlpm.factor))</f>
        <v/>
      </c>
      <c r="N251" s="33">
        <f>_xlfn.LET(_xlpm.inicio,MAX($D251,N$3),_xlpm.fin,MIN($E251,N$4),_xlpm.feriados,IF($H251="CO",FER_CO,FER_EC),_xlpm.dias,IF(_xlpm.inicio&gt;_xlpm.fin,0,NETWORKDAYS(_xlpm.inicio,_xlpm.fin,_xlpm.feriados)),_xlpm.factor,IF($G251="Probable",IF(Parametros!$B$6="Sí",1,0),1),IF(OR($A251="",$D251="",$E251=""),0,_xlpm.dias*$I251*_xlpm.factor))</f>
        <v/>
      </c>
      <c r="O251" s="33">
        <f>_xlfn.LET(_xlpm.inicio,MAX($D251,O$3),_xlpm.fin,MIN($E251,O$4),_xlpm.feriados,IF($H251="CO",FER_CO,FER_EC),_xlpm.dias,IF(_xlpm.inicio&gt;_xlpm.fin,0,NETWORKDAYS(_xlpm.inicio,_xlpm.fin,_xlpm.feriados)),_xlpm.factor,IF($G251="Probable",IF(Parametros!$B$6="Sí",1,0),1),IF(OR($A251="",$D251="",$E251=""),0,_xlpm.dias*$I251*_xlpm.factor))</f>
        <v/>
      </c>
      <c r="P251" s="34">
        <f>_xlfn.LET(_xlpm.horas,J251,_xlpm.feriados,IF($H251="CO",FER_CO,FER_EC),_xlpm.capacidad,NETWORKDAYS(J$3,J$4,_xlpm.feriados)*INDEX(Consultores!$C$6:$C$65,MATCH($A251,Consultores!$A$6:$A$65,0)),IF(_xlpm.horas=0,"",IFERROR(_xlpm.horas/_xlpm.capacidad,"")))</f>
        <v/>
      </c>
      <c r="Q251" s="34">
        <f>_xlfn.LET(_xlpm.horas,K251,_xlpm.feriados,IF($H251="CO",FER_CO,FER_EC),_xlpm.capacidad,NETWORKDAYS(K$3,K$4,_xlpm.feriados)*INDEX(Consultores!$C$6:$C$65,MATCH($A251,Consultores!$A$6:$A$65,0)),IF(_xlpm.horas=0,"",IFERROR(_xlpm.horas/_xlpm.capacidad,"")))</f>
        <v/>
      </c>
      <c r="R251" s="34">
        <f>_xlfn.LET(_xlpm.horas,L251,_xlpm.feriados,IF($H251="CO",FER_CO,FER_EC),_xlpm.capacidad,NETWORKDAYS(L$3,L$4,_xlpm.feriados)*INDEX(Consultores!$C$6:$C$65,MATCH($A251,Consultores!$A$6:$A$65,0)),IF(_xlpm.horas=0,"",IFERROR(_xlpm.horas/_xlpm.capacidad,"")))</f>
        <v/>
      </c>
      <c r="S251" s="34">
        <f>_xlfn.LET(_xlpm.horas,M251,_xlpm.feriados,IF($H251="CO",FER_CO,FER_EC),_xlpm.capacidad,NETWORKDAYS(M$3,M$4,_xlpm.feriados)*INDEX(Consultores!$C$6:$C$65,MATCH($A251,Consultores!$A$6:$A$65,0)),IF(_xlpm.horas=0,"",IFERROR(_xlpm.horas/_xlpm.capacidad,"")))</f>
        <v/>
      </c>
      <c r="T251" s="34">
        <f>_xlfn.LET(_xlpm.horas,N251,_xlpm.feriados,IF($H251="CO",FER_CO,FER_EC),_xlpm.capacidad,NETWORKDAYS(N$3,N$4,_xlpm.feriados)*INDEX(Consultores!$C$6:$C$65,MATCH($A251,Consultores!$A$6:$A$65,0)),IF(_xlpm.horas=0,"",IFERROR(_xlpm.horas/_xlpm.capacidad,"")))</f>
        <v/>
      </c>
      <c r="U251" s="34">
        <f>_xlfn.LET(_xlpm.horas,O251,_xlpm.feriados,IF($H251="CO",FER_CO,FER_EC),_xlpm.capacidad,NETWORKDAYS(O$3,O$4,_xlpm.feriados)*INDEX(Consultores!$C$6:$C$65,MATCH($A251,Consultores!$A$6:$A$65,0)),IF(_xlpm.horas=0,"",IFERROR(_xlpm.horas/_xlpm.capacidad,"")))</f>
        <v/>
      </c>
    </row>
    <row r="252">
      <c r="A252" s="25" t="n"/>
      <c r="B252" s="25" t="n"/>
      <c r="C252" s="25" t="n"/>
      <c r="D252" s="30" t="n"/>
      <c r="E252" s="30" t="n"/>
      <c r="F252" s="26" t="n"/>
      <c r="G252" s="25" t="n"/>
      <c r="H252" s="31">
        <f>IF($A252="","",IFERROR(INDEX(Consultores!$B$6:$B$65,MATCH($A252,Consultores!$A$6:$A$65,0)),"No existe"))</f>
        <v/>
      </c>
      <c r="I252" s="32">
        <f>IF($F252="",0,$F252/5)</f>
        <v/>
      </c>
      <c r="J252" s="33">
        <f>_xlfn.LET(_xlpm.inicio,MAX($D252,J$3),_xlpm.fin,MIN($E252,J$4),_xlpm.feriados,IF($H252="CO",FER_CO,FER_EC),_xlpm.dias,IF(_xlpm.inicio&gt;_xlpm.fin,0,NETWORKDAYS(_xlpm.inicio,_xlpm.fin,_xlpm.feriados)),_xlpm.factor,IF($G252="Probable",IF(Parametros!$B$6="Sí",1,0),1),IF(OR($A252="",$D252="",$E252=""),0,_xlpm.dias*$I252*_xlpm.factor))</f>
        <v/>
      </c>
      <c r="K252" s="33">
        <f>_xlfn.LET(_xlpm.inicio,MAX($D252,K$3),_xlpm.fin,MIN($E252,K$4),_xlpm.feriados,IF($H252="CO",FER_CO,FER_EC),_xlpm.dias,IF(_xlpm.inicio&gt;_xlpm.fin,0,NETWORKDAYS(_xlpm.inicio,_xlpm.fin,_xlpm.feriados)),_xlpm.factor,IF($G252="Probable",IF(Parametros!$B$6="Sí",1,0),1),IF(OR($A252="",$D252="",$E252=""),0,_xlpm.dias*$I252*_xlpm.factor))</f>
        <v/>
      </c>
      <c r="L252" s="33">
        <f>_xlfn.LET(_xlpm.inicio,MAX($D252,L$3),_xlpm.fin,MIN($E252,L$4),_xlpm.feriados,IF($H252="CO",FER_CO,FER_EC),_xlpm.dias,IF(_xlpm.inicio&gt;_xlpm.fin,0,NETWORKDAYS(_xlpm.inicio,_xlpm.fin,_xlpm.feriados)),_xlpm.factor,IF($G252="Probable",IF(Parametros!$B$6="Sí",1,0),1),IF(OR($A252="",$D252="",$E252=""),0,_xlpm.dias*$I252*_xlpm.factor))</f>
        <v/>
      </c>
      <c r="M252" s="33">
        <f>_xlfn.LET(_xlpm.inicio,MAX($D252,M$3),_xlpm.fin,MIN($E252,M$4),_xlpm.feriados,IF($H252="CO",FER_CO,FER_EC),_xlpm.dias,IF(_xlpm.inicio&gt;_xlpm.fin,0,NETWORKDAYS(_xlpm.inicio,_xlpm.fin,_xlpm.feriados)),_xlpm.factor,IF($G252="Probable",IF(Parametros!$B$6="Sí",1,0),1),IF(OR($A252="",$D252="",$E252=""),0,_xlpm.dias*$I252*_xlpm.factor))</f>
        <v/>
      </c>
      <c r="N252" s="33">
        <f>_xlfn.LET(_xlpm.inicio,MAX($D252,N$3),_xlpm.fin,MIN($E252,N$4),_xlpm.feriados,IF($H252="CO",FER_CO,FER_EC),_xlpm.dias,IF(_xlpm.inicio&gt;_xlpm.fin,0,NETWORKDAYS(_xlpm.inicio,_xlpm.fin,_xlpm.feriados)),_xlpm.factor,IF($G252="Probable",IF(Parametros!$B$6="Sí",1,0),1),IF(OR($A252="",$D252="",$E252=""),0,_xlpm.dias*$I252*_xlpm.factor))</f>
        <v/>
      </c>
      <c r="O252" s="33">
        <f>_xlfn.LET(_xlpm.inicio,MAX($D252,O$3),_xlpm.fin,MIN($E252,O$4),_xlpm.feriados,IF($H252="CO",FER_CO,FER_EC),_xlpm.dias,IF(_xlpm.inicio&gt;_xlpm.fin,0,NETWORKDAYS(_xlpm.inicio,_xlpm.fin,_xlpm.feriados)),_xlpm.factor,IF($G252="Probable",IF(Parametros!$B$6="Sí",1,0),1),IF(OR($A252="",$D252="",$E252=""),0,_xlpm.dias*$I252*_xlpm.factor))</f>
        <v/>
      </c>
      <c r="P252" s="34">
        <f>_xlfn.LET(_xlpm.horas,J252,_xlpm.feriados,IF($H252="CO",FER_CO,FER_EC),_xlpm.capacidad,NETWORKDAYS(J$3,J$4,_xlpm.feriados)*INDEX(Consultores!$C$6:$C$65,MATCH($A252,Consultores!$A$6:$A$65,0)),IF(_xlpm.horas=0,"",IFERROR(_xlpm.horas/_xlpm.capacidad,"")))</f>
        <v/>
      </c>
      <c r="Q252" s="34">
        <f>_xlfn.LET(_xlpm.horas,K252,_xlpm.feriados,IF($H252="CO",FER_CO,FER_EC),_xlpm.capacidad,NETWORKDAYS(K$3,K$4,_xlpm.feriados)*INDEX(Consultores!$C$6:$C$65,MATCH($A252,Consultores!$A$6:$A$65,0)),IF(_xlpm.horas=0,"",IFERROR(_xlpm.horas/_xlpm.capacidad,"")))</f>
        <v/>
      </c>
      <c r="R252" s="34">
        <f>_xlfn.LET(_xlpm.horas,L252,_xlpm.feriados,IF($H252="CO",FER_CO,FER_EC),_xlpm.capacidad,NETWORKDAYS(L$3,L$4,_xlpm.feriados)*INDEX(Consultores!$C$6:$C$65,MATCH($A252,Consultores!$A$6:$A$65,0)),IF(_xlpm.horas=0,"",IFERROR(_xlpm.horas/_xlpm.capacidad,"")))</f>
        <v/>
      </c>
      <c r="S252" s="34">
        <f>_xlfn.LET(_xlpm.horas,M252,_xlpm.feriados,IF($H252="CO",FER_CO,FER_EC),_xlpm.capacidad,NETWORKDAYS(M$3,M$4,_xlpm.feriados)*INDEX(Consultores!$C$6:$C$65,MATCH($A252,Consultores!$A$6:$A$65,0)),IF(_xlpm.horas=0,"",IFERROR(_xlpm.horas/_xlpm.capacidad,"")))</f>
        <v/>
      </c>
      <c r="T252" s="34">
        <f>_xlfn.LET(_xlpm.horas,N252,_xlpm.feriados,IF($H252="CO",FER_CO,FER_EC),_xlpm.capacidad,NETWORKDAYS(N$3,N$4,_xlpm.feriados)*INDEX(Consultores!$C$6:$C$65,MATCH($A252,Consultores!$A$6:$A$65,0)),IF(_xlpm.horas=0,"",IFERROR(_xlpm.horas/_xlpm.capacidad,"")))</f>
        <v/>
      </c>
      <c r="U252" s="34">
        <f>_xlfn.LET(_xlpm.horas,O252,_xlpm.feriados,IF($H252="CO",FER_CO,FER_EC),_xlpm.capacidad,NETWORKDAYS(O$3,O$4,_xlpm.feriados)*INDEX(Consultores!$C$6:$C$65,MATCH($A252,Consultores!$A$6:$A$65,0)),IF(_xlpm.horas=0,"",IFERROR(_xlpm.horas/_xlpm.capacidad,"")))</f>
        <v/>
      </c>
    </row>
    <row r="253">
      <c r="A253" s="25" t="n"/>
      <c r="B253" s="25" t="n"/>
      <c r="C253" s="25" t="n"/>
      <c r="D253" s="30" t="n"/>
      <c r="E253" s="30" t="n"/>
      <c r="F253" s="26" t="n"/>
      <c r="G253" s="25" t="n"/>
      <c r="H253" s="31">
        <f>IF($A253="","",IFERROR(INDEX(Consultores!$B$6:$B$65,MATCH($A253,Consultores!$A$6:$A$65,0)),"No existe"))</f>
        <v/>
      </c>
      <c r="I253" s="32">
        <f>IF($F253="",0,$F253/5)</f>
        <v/>
      </c>
      <c r="J253" s="33">
        <f>_xlfn.LET(_xlpm.inicio,MAX($D253,J$3),_xlpm.fin,MIN($E253,J$4),_xlpm.feriados,IF($H253="CO",FER_CO,FER_EC),_xlpm.dias,IF(_xlpm.inicio&gt;_xlpm.fin,0,NETWORKDAYS(_xlpm.inicio,_xlpm.fin,_xlpm.feriados)),_xlpm.factor,IF($G253="Probable",IF(Parametros!$B$6="Sí",1,0),1),IF(OR($A253="",$D253="",$E253=""),0,_xlpm.dias*$I253*_xlpm.factor))</f>
        <v/>
      </c>
      <c r="K253" s="33">
        <f>_xlfn.LET(_xlpm.inicio,MAX($D253,K$3),_xlpm.fin,MIN($E253,K$4),_xlpm.feriados,IF($H253="CO",FER_CO,FER_EC),_xlpm.dias,IF(_xlpm.inicio&gt;_xlpm.fin,0,NETWORKDAYS(_xlpm.inicio,_xlpm.fin,_xlpm.feriados)),_xlpm.factor,IF($G253="Probable",IF(Parametros!$B$6="Sí",1,0),1),IF(OR($A253="",$D253="",$E253=""),0,_xlpm.dias*$I253*_xlpm.factor))</f>
        <v/>
      </c>
      <c r="L253" s="33">
        <f>_xlfn.LET(_xlpm.inicio,MAX($D253,L$3),_xlpm.fin,MIN($E253,L$4),_xlpm.feriados,IF($H253="CO",FER_CO,FER_EC),_xlpm.dias,IF(_xlpm.inicio&gt;_xlpm.fin,0,NETWORKDAYS(_xlpm.inicio,_xlpm.fin,_xlpm.feriados)),_xlpm.factor,IF($G253="Probable",IF(Parametros!$B$6="Sí",1,0),1),IF(OR($A253="",$D253="",$E253=""),0,_xlpm.dias*$I253*_xlpm.factor))</f>
        <v/>
      </c>
      <c r="M253" s="33">
        <f>_xlfn.LET(_xlpm.inicio,MAX($D253,M$3),_xlpm.fin,MIN($E253,M$4),_xlpm.feriados,IF($H253="CO",FER_CO,FER_EC),_xlpm.dias,IF(_xlpm.inicio&gt;_xlpm.fin,0,NETWORKDAYS(_xlpm.inicio,_xlpm.fin,_xlpm.feriados)),_xlpm.factor,IF($G253="Probable",IF(Parametros!$B$6="Sí",1,0),1),IF(OR($A253="",$D253="",$E253=""),0,_xlpm.dias*$I253*_xlpm.factor))</f>
        <v/>
      </c>
      <c r="N253" s="33">
        <f>_xlfn.LET(_xlpm.inicio,MAX($D253,N$3),_xlpm.fin,MIN($E253,N$4),_xlpm.feriados,IF($H253="CO",FER_CO,FER_EC),_xlpm.dias,IF(_xlpm.inicio&gt;_xlpm.fin,0,NETWORKDAYS(_xlpm.inicio,_xlpm.fin,_xlpm.feriados)),_xlpm.factor,IF($G253="Probable",IF(Parametros!$B$6="Sí",1,0),1),IF(OR($A253="",$D253="",$E253=""),0,_xlpm.dias*$I253*_xlpm.factor))</f>
        <v/>
      </c>
      <c r="O253" s="33">
        <f>_xlfn.LET(_xlpm.inicio,MAX($D253,O$3),_xlpm.fin,MIN($E253,O$4),_xlpm.feriados,IF($H253="CO",FER_CO,FER_EC),_xlpm.dias,IF(_xlpm.inicio&gt;_xlpm.fin,0,NETWORKDAYS(_xlpm.inicio,_xlpm.fin,_xlpm.feriados)),_xlpm.factor,IF($G253="Probable",IF(Parametros!$B$6="Sí",1,0),1),IF(OR($A253="",$D253="",$E253=""),0,_xlpm.dias*$I253*_xlpm.factor))</f>
        <v/>
      </c>
      <c r="P253" s="34">
        <f>_xlfn.LET(_xlpm.horas,J253,_xlpm.feriados,IF($H253="CO",FER_CO,FER_EC),_xlpm.capacidad,NETWORKDAYS(J$3,J$4,_xlpm.feriados)*INDEX(Consultores!$C$6:$C$65,MATCH($A253,Consultores!$A$6:$A$65,0)),IF(_xlpm.horas=0,"",IFERROR(_xlpm.horas/_xlpm.capacidad,"")))</f>
        <v/>
      </c>
      <c r="Q253" s="34">
        <f>_xlfn.LET(_xlpm.horas,K253,_xlpm.feriados,IF($H253="CO",FER_CO,FER_EC),_xlpm.capacidad,NETWORKDAYS(K$3,K$4,_xlpm.feriados)*INDEX(Consultores!$C$6:$C$65,MATCH($A253,Consultores!$A$6:$A$65,0)),IF(_xlpm.horas=0,"",IFERROR(_xlpm.horas/_xlpm.capacidad,"")))</f>
        <v/>
      </c>
      <c r="R253" s="34">
        <f>_xlfn.LET(_xlpm.horas,L253,_xlpm.feriados,IF($H253="CO",FER_CO,FER_EC),_xlpm.capacidad,NETWORKDAYS(L$3,L$4,_xlpm.feriados)*INDEX(Consultores!$C$6:$C$65,MATCH($A253,Consultores!$A$6:$A$65,0)),IF(_xlpm.horas=0,"",IFERROR(_xlpm.horas/_xlpm.capacidad,"")))</f>
        <v/>
      </c>
      <c r="S253" s="34">
        <f>_xlfn.LET(_xlpm.horas,M253,_xlpm.feriados,IF($H253="CO",FER_CO,FER_EC),_xlpm.capacidad,NETWORKDAYS(M$3,M$4,_xlpm.feriados)*INDEX(Consultores!$C$6:$C$65,MATCH($A253,Consultores!$A$6:$A$65,0)),IF(_xlpm.horas=0,"",IFERROR(_xlpm.horas/_xlpm.capacidad,"")))</f>
        <v/>
      </c>
      <c r="T253" s="34">
        <f>_xlfn.LET(_xlpm.horas,N253,_xlpm.feriados,IF($H253="CO",FER_CO,FER_EC),_xlpm.capacidad,NETWORKDAYS(N$3,N$4,_xlpm.feriados)*INDEX(Consultores!$C$6:$C$65,MATCH($A253,Consultores!$A$6:$A$65,0)),IF(_xlpm.horas=0,"",IFERROR(_xlpm.horas/_xlpm.capacidad,"")))</f>
        <v/>
      </c>
      <c r="U253" s="34">
        <f>_xlfn.LET(_xlpm.horas,O253,_xlpm.feriados,IF($H253="CO",FER_CO,FER_EC),_xlpm.capacidad,NETWORKDAYS(O$3,O$4,_xlpm.feriados)*INDEX(Consultores!$C$6:$C$65,MATCH($A253,Consultores!$A$6:$A$65,0)),IF(_xlpm.horas=0,"",IFERROR(_xlpm.horas/_xlpm.capacidad,"")))</f>
        <v/>
      </c>
    </row>
    <row r="254">
      <c r="A254" s="25" t="n"/>
      <c r="B254" s="25" t="n"/>
      <c r="C254" s="25" t="n"/>
      <c r="D254" s="30" t="n"/>
      <c r="E254" s="30" t="n"/>
      <c r="F254" s="26" t="n"/>
      <c r="G254" s="25" t="n"/>
      <c r="H254" s="31">
        <f>IF($A254="","",IFERROR(INDEX(Consultores!$B$6:$B$65,MATCH($A254,Consultores!$A$6:$A$65,0)),"No existe"))</f>
        <v/>
      </c>
      <c r="I254" s="32">
        <f>IF($F254="",0,$F254/5)</f>
        <v/>
      </c>
      <c r="J254" s="33">
        <f>_xlfn.LET(_xlpm.inicio,MAX($D254,J$3),_xlpm.fin,MIN($E254,J$4),_xlpm.feriados,IF($H254="CO",FER_CO,FER_EC),_xlpm.dias,IF(_xlpm.inicio&gt;_xlpm.fin,0,NETWORKDAYS(_xlpm.inicio,_xlpm.fin,_xlpm.feriados)),_xlpm.factor,IF($G254="Probable",IF(Parametros!$B$6="Sí",1,0),1),IF(OR($A254="",$D254="",$E254=""),0,_xlpm.dias*$I254*_xlpm.factor))</f>
        <v/>
      </c>
      <c r="K254" s="33">
        <f>_xlfn.LET(_xlpm.inicio,MAX($D254,K$3),_xlpm.fin,MIN($E254,K$4),_xlpm.feriados,IF($H254="CO",FER_CO,FER_EC),_xlpm.dias,IF(_xlpm.inicio&gt;_xlpm.fin,0,NETWORKDAYS(_xlpm.inicio,_xlpm.fin,_xlpm.feriados)),_xlpm.factor,IF($G254="Probable",IF(Parametros!$B$6="Sí",1,0),1),IF(OR($A254="",$D254="",$E254=""),0,_xlpm.dias*$I254*_xlpm.factor))</f>
        <v/>
      </c>
      <c r="L254" s="33">
        <f>_xlfn.LET(_xlpm.inicio,MAX($D254,L$3),_xlpm.fin,MIN($E254,L$4),_xlpm.feriados,IF($H254="CO",FER_CO,FER_EC),_xlpm.dias,IF(_xlpm.inicio&gt;_xlpm.fin,0,NETWORKDAYS(_xlpm.inicio,_xlpm.fin,_xlpm.feriados)),_xlpm.factor,IF($G254="Probable",IF(Parametros!$B$6="Sí",1,0),1),IF(OR($A254="",$D254="",$E254=""),0,_xlpm.dias*$I254*_xlpm.factor))</f>
        <v/>
      </c>
      <c r="M254" s="33">
        <f>_xlfn.LET(_xlpm.inicio,MAX($D254,M$3),_xlpm.fin,MIN($E254,M$4),_xlpm.feriados,IF($H254="CO",FER_CO,FER_EC),_xlpm.dias,IF(_xlpm.inicio&gt;_xlpm.fin,0,NETWORKDAYS(_xlpm.inicio,_xlpm.fin,_xlpm.feriados)),_xlpm.factor,IF($G254="Probable",IF(Parametros!$B$6="Sí",1,0),1),IF(OR($A254="",$D254="",$E254=""),0,_xlpm.dias*$I254*_xlpm.factor))</f>
        <v/>
      </c>
      <c r="N254" s="33">
        <f>_xlfn.LET(_xlpm.inicio,MAX($D254,N$3),_xlpm.fin,MIN($E254,N$4),_xlpm.feriados,IF($H254="CO",FER_CO,FER_EC),_xlpm.dias,IF(_xlpm.inicio&gt;_xlpm.fin,0,NETWORKDAYS(_xlpm.inicio,_xlpm.fin,_xlpm.feriados)),_xlpm.factor,IF($G254="Probable",IF(Parametros!$B$6="Sí",1,0),1),IF(OR($A254="",$D254="",$E254=""),0,_xlpm.dias*$I254*_xlpm.factor))</f>
        <v/>
      </c>
      <c r="O254" s="33">
        <f>_xlfn.LET(_xlpm.inicio,MAX($D254,O$3),_xlpm.fin,MIN($E254,O$4),_xlpm.feriados,IF($H254="CO",FER_CO,FER_EC),_xlpm.dias,IF(_xlpm.inicio&gt;_xlpm.fin,0,NETWORKDAYS(_xlpm.inicio,_xlpm.fin,_xlpm.feriados)),_xlpm.factor,IF($G254="Probable",IF(Parametros!$B$6="Sí",1,0),1),IF(OR($A254="",$D254="",$E254=""),0,_xlpm.dias*$I254*_xlpm.factor))</f>
        <v/>
      </c>
      <c r="P254" s="34">
        <f>_xlfn.LET(_xlpm.horas,J254,_xlpm.feriados,IF($H254="CO",FER_CO,FER_EC),_xlpm.capacidad,NETWORKDAYS(J$3,J$4,_xlpm.feriados)*INDEX(Consultores!$C$6:$C$65,MATCH($A254,Consultores!$A$6:$A$65,0)),IF(_xlpm.horas=0,"",IFERROR(_xlpm.horas/_xlpm.capacidad,"")))</f>
        <v/>
      </c>
      <c r="Q254" s="34">
        <f>_xlfn.LET(_xlpm.horas,K254,_xlpm.feriados,IF($H254="CO",FER_CO,FER_EC),_xlpm.capacidad,NETWORKDAYS(K$3,K$4,_xlpm.feriados)*INDEX(Consultores!$C$6:$C$65,MATCH($A254,Consultores!$A$6:$A$65,0)),IF(_xlpm.horas=0,"",IFERROR(_xlpm.horas/_xlpm.capacidad,"")))</f>
        <v/>
      </c>
      <c r="R254" s="34">
        <f>_xlfn.LET(_xlpm.horas,L254,_xlpm.feriados,IF($H254="CO",FER_CO,FER_EC),_xlpm.capacidad,NETWORKDAYS(L$3,L$4,_xlpm.feriados)*INDEX(Consultores!$C$6:$C$65,MATCH($A254,Consultores!$A$6:$A$65,0)),IF(_xlpm.horas=0,"",IFERROR(_xlpm.horas/_xlpm.capacidad,"")))</f>
        <v/>
      </c>
      <c r="S254" s="34">
        <f>_xlfn.LET(_xlpm.horas,M254,_xlpm.feriados,IF($H254="CO",FER_CO,FER_EC),_xlpm.capacidad,NETWORKDAYS(M$3,M$4,_xlpm.feriados)*INDEX(Consultores!$C$6:$C$65,MATCH($A254,Consultores!$A$6:$A$65,0)),IF(_xlpm.horas=0,"",IFERROR(_xlpm.horas/_xlpm.capacidad,"")))</f>
        <v/>
      </c>
      <c r="T254" s="34">
        <f>_xlfn.LET(_xlpm.horas,N254,_xlpm.feriados,IF($H254="CO",FER_CO,FER_EC),_xlpm.capacidad,NETWORKDAYS(N$3,N$4,_xlpm.feriados)*INDEX(Consultores!$C$6:$C$65,MATCH($A254,Consultores!$A$6:$A$65,0)),IF(_xlpm.horas=0,"",IFERROR(_xlpm.horas/_xlpm.capacidad,"")))</f>
        <v/>
      </c>
      <c r="U254" s="34">
        <f>_xlfn.LET(_xlpm.horas,O254,_xlpm.feriados,IF($H254="CO",FER_CO,FER_EC),_xlpm.capacidad,NETWORKDAYS(O$3,O$4,_xlpm.feriados)*INDEX(Consultores!$C$6:$C$65,MATCH($A254,Consultores!$A$6:$A$65,0)),IF(_xlpm.horas=0,"",IFERROR(_xlpm.horas/_xlpm.capacidad,"")))</f>
        <v/>
      </c>
    </row>
    <row r="255">
      <c r="A255" s="25" t="n"/>
      <c r="B255" s="25" t="n"/>
      <c r="C255" s="25" t="n"/>
      <c r="D255" s="30" t="n"/>
      <c r="E255" s="30" t="n"/>
      <c r="F255" s="26" t="n"/>
      <c r="G255" s="25" t="n"/>
      <c r="H255" s="31">
        <f>IF($A255="","",IFERROR(INDEX(Consultores!$B$6:$B$65,MATCH($A255,Consultores!$A$6:$A$65,0)),"No existe"))</f>
        <v/>
      </c>
      <c r="I255" s="32">
        <f>IF($F255="",0,$F255/5)</f>
        <v/>
      </c>
      <c r="J255" s="33">
        <f>_xlfn.LET(_xlpm.inicio,MAX($D255,J$3),_xlpm.fin,MIN($E255,J$4),_xlpm.feriados,IF($H255="CO",FER_CO,FER_EC),_xlpm.dias,IF(_xlpm.inicio&gt;_xlpm.fin,0,NETWORKDAYS(_xlpm.inicio,_xlpm.fin,_xlpm.feriados)),_xlpm.factor,IF($G255="Probable",IF(Parametros!$B$6="Sí",1,0),1),IF(OR($A255="",$D255="",$E255=""),0,_xlpm.dias*$I255*_xlpm.factor))</f>
        <v/>
      </c>
      <c r="K255" s="33">
        <f>_xlfn.LET(_xlpm.inicio,MAX($D255,K$3),_xlpm.fin,MIN($E255,K$4),_xlpm.feriados,IF($H255="CO",FER_CO,FER_EC),_xlpm.dias,IF(_xlpm.inicio&gt;_xlpm.fin,0,NETWORKDAYS(_xlpm.inicio,_xlpm.fin,_xlpm.feriados)),_xlpm.factor,IF($G255="Probable",IF(Parametros!$B$6="Sí",1,0),1),IF(OR($A255="",$D255="",$E255=""),0,_xlpm.dias*$I255*_xlpm.factor))</f>
        <v/>
      </c>
      <c r="L255" s="33">
        <f>_xlfn.LET(_xlpm.inicio,MAX($D255,L$3),_xlpm.fin,MIN($E255,L$4),_xlpm.feriados,IF($H255="CO",FER_CO,FER_EC),_xlpm.dias,IF(_xlpm.inicio&gt;_xlpm.fin,0,NETWORKDAYS(_xlpm.inicio,_xlpm.fin,_xlpm.feriados)),_xlpm.factor,IF($G255="Probable",IF(Parametros!$B$6="Sí",1,0),1),IF(OR($A255="",$D255="",$E255=""),0,_xlpm.dias*$I255*_xlpm.factor))</f>
        <v/>
      </c>
      <c r="M255" s="33">
        <f>_xlfn.LET(_xlpm.inicio,MAX($D255,M$3),_xlpm.fin,MIN($E255,M$4),_xlpm.feriados,IF($H255="CO",FER_CO,FER_EC),_xlpm.dias,IF(_xlpm.inicio&gt;_xlpm.fin,0,NETWORKDAYS(_xlpm.inicio,_xlpm.fin,_xlpm.feriados)),_xlpm.factor,IF($G255="Probable",IF(Parametros!$B$6="Sí",1,0),1),IF(OR($A255="",$D255="",$E255=""),0,_xlpm.dias*$I255*_xlpm.factor))</f>
        <v/>
      </c>
      <c r="N255" s="33">
        <f>_xlfn.LET(_xlpm.inicio,MAX($D255,N$3),_xlpm.fin,MIN($E255,N$4),_xlpm.feriados,IF($H255="CO",FER_CO,FER_EC),_xlpm.dias,IF(_xlpm.inicio&gt;_xlpm.fin,0,NETWORKDAYS(_xlpm.inicio,_xlpm.fin,_xlpm.feriados)),_xlpm.factor,IF($G255="Probable",IF(Parametros!$B$6="Sí",1,0),1),IF(OR($A255="",$D255="",$E255=""),0,_xlpm.dias*$I255*_xlpm.factor))</f>
        <v/>
      </c>
      <c r="O255" s="33">
        <f>_xlfn.LET(_xlpm.inicio,MAX($D255,O$3),_xlpm.fin,MIN($E255,O$4),_xlpm.feriados,IF($H255="CO",FER_CO,FER_EC),_xlpm.dias,IF(_xlpm.inicio&gt;_xlpm.fin,0,NETWORKDAYS(_xlpm.inicio,_xlpm.fin,_xlpm.feriados)),_xlpm.factor,IF($G255="Probable",IF(Parametros!$B$6="Sí",1,0),1),IF(OR($A255="",$D255="",$E255=""),0,_xlpm.dias*$I255*_xlpm.factor))</f>
        <v/>
      </c>
      <c r="P255" s="34">
        <f>_xlfn.LET(_xlpm.horas,J255,_xlpm.feriados,IF($H255="CO",FER_CO,FER_EC),_xlpm.capacidad,NETWORKDAYS(J$3,J$4,_xlpm.feriados)*INDEX(Consultores!$C$6:$C$65,MATCH($A255,Consultores!$A$6:$A$65,0)),IF(_xlpm.horas=0,"",IFERROR(_xlpm.horas/_xlpm.capacidad,"")))</f>
        <v/>
      </c>
      <c r="Q255" s="34">
        <f>_xlfn.LET(_xlpm.horas,K255,_xlpm.feriados,IF($H255="CO",FER_CO,FER_EC),_xlpm.capacidad,NETWORKDAYS(K$3,K$4,_xlpm.feriados)*INDEX(Consultores!$C$6:$C$65,MATCH($A255,Consultores!$A$6:$A$65,0)),IF(_xlpm.horas=0,"",IFERROR(_xlpm.horas/_xlpm.capacidad,"")))</f>
        <v/>
      </c>
      <c r="R255" s="34">
        <f>_xlfn.LET(_xlpm.horas,L255,_xlpm.feriados,IF($H255="CO",FER_CO,FER_EC),_xlpm.capacidad,NETWORKDAYS(L$3,L$4,_xlpm.feriados)*INDEX(Consultores!$C$6:$C$65,MATCH($A255,Consultores!$A$6:$A$65,0)),IF(_xlpm.horas=0,"",IFERROR(_xlpm.horas/_xlpm.capacidad,"")))</f>
        <v/>
      </c>
      <c r="S255" s="34">
        <f>_xlfn.LET(_xlpm.horas,M255,_xlpm.feriados,IF($H255="CO",FER_CO,FER_EC),_xlpm.capacidad,NETWORKDAYS(M$3,M$4,_xlpm.feriados)*INDEX(Consultores!$C$6:$C$65,MATCH($A255,Consultores!$A$6:$A$65,0)),IF(_xlpm.horas=0,"",IFERROR(_xlpm.horas/_xlpm.capacidad,"")))</f>
        <v/>
      </c>
      <c r="T255" s="34">
        <f>_xlfn.LET(_xlpm.horas,N255,_xlpm.feriados,IF($H255="CO",FER_CO,FER_EC),_xlpm.capacidad,NETWORKDAYS(N$3,N$4,_xlpm.feriados)*INDEX(Consultores!$C$6:$C$65,MATCH($A255,Consultores!$A$6:$A$65,0)),IF(_xlpm.horas=0,"",IFERROR(_xlpm.horas/_xlpm.capacidad,"")))</f>
        <v/>
      </c>
      <c r="U255" s="34">
        <f>_xlfn.LET(_xlpm.horas,O255,_xlpm.feriados,IF($H255="CO",FER_CO,FER_EC),_xlpm.capacidad,NETWORKDAYS(O$3,O$4,_xlpm.feriados)*INDEX(Consultores!$C$6:$C$65,MATCH($A255,Consultores!$A$6:$A$65,0)),IF(_xlpm.horas=0,"",IFERROR(_xlpm.horas/_xlpm.capacidad,"")))</f>
        <v/>
      </c>
    </row>
    <row r="256">
      <c r="A256" s="25" t="n"/>
      <c r="B256" s="25" t="n"/>
      <c r="C256" s="25" t="n"/>
      <c r="D256" s="30" t="n"/>
      <c r="E256" s="30" t="n"/>
      <c r="F256" s="26" t="n"/>
      <c r="G256" s="25" t="n"/>
      <c r="H256" s="31">
        <f>IF($A256="","",IFERROR(INDEX(Consultores!$B$6:$B$65,MATCH($A256,Consultores!$A$6:$A$65,0)),"No existe"))</f>
        <v/>
      </c>
      <c r="I256" s="32">
        <f>IF($F256="",0,$F256/5)</f>
        <v/>
      </c>
      <c r="J256" s="33">
        <f>_xlfn.LET(_xlpm.inicio,MAX($D256,J$3),_xlpm.fin,MIN($E256,J$4),_xlpm.feriados,IF($H256="CO",FER_CO,FER_EC),_xlpm.dias,IF(_xlpm.inicio&gt;_xlpm.fin,0,NETWORKDAYS(_xlpm.inicio,_xlpm.fin,_xlpm.feriados)),_xlpm.factor,IF($G256="Probable",IF(Parametros!$B$6="Sí",1,0),1),IF(OR($A256="",$D256="",$E256=""),0,_xlpm.dias*$I256*_xlpm.factor))</f>
        <v/>
      </c>
      <c r="K256" s="33">
        <f>_xlfn.LET(_xlpm.inicio,MAX($D256,K$3),_xlpm.fin,MIN($E256,K$4),_xlpm.feriados,IF($H256="CO",FER_CO,FER_EC),_xlpm.dias,IF(_xlpm.inicio&gt;_xlpm.fin,0,NETWORKDAYS(_xlpm.inicio,_xlpm.fin,_xlpm.feriados)),_xlpm.factor,IF($G256="Probable",IF(Parametros!$B$6="Sí",1,0),1),IF(OR($A256="",$D256="",$E256=""),0,_xlpm.dias*$I256*_xlpm.factor))</f>
        <v/>
      </c>
      <c r="L256" s="33">
        <f>_xlfn.LET(_xlpm.inicio,MAX($D256,L$3),_xlpm.fin,MIN($E256,L$4),_xlpm.feriados,IF($H256="CO",FER_CO,FER_EC),_xlpm.dias,IF(_xlpm.inicio&gt;_xlpm.fin,0,NETWORKDAYS(_xlpm.inicio,_xlpm.fin,_xlpm.feriados)),_xlpm.factor,IF($G256="Probable",IF(Parametros!$B$6="Sí",1,0),1),IF(OR($A256="",$D256="",$E256=""),0,_xlpm.dias*$I256*_xlpm.factor))</f>
        <v/>
      </c>
      <c r="M256" s="33">
        <f>_xlfn.LET(_xlpm.inicio,MAX($D256,M$3),_xlpm.fin,MIN($E256,M$4),_xlpm.feriados,IF($H256="CO",FER_CO,FER_EC),_xlpm.dias,IF(_xlpm.inicio&gt;_xlpm.fin,0,NETWORKDAYS(_xlpm.inicio,_xlpm.fin,_xlpm.feriados)),_xlpm.factor,IF($G256="Probable",IF(Parametros!$B$6="Sí",1,0),1),IF(OR($A256="",$D256="",$E256=""),0,_xlpm.dias*$I256*_xlpm.factor))</f>
        <v/>
      </c>
      <c r="N256" s="33">
        <f>_xlfn.LET(_xlpm.inicio,MAX($D256,N$3),_xlpm.fin,MIN($E256,N$4),_xlpm.feriados,IF($H256="CO",FER_CO,FER_EC),_xlpm.dias,IF(_xlpm.inicio&gt;_xlpm.fin,0,NETWORKDAYS(_xlpm.inicio,_xlpm.fin,_xlpm.feriados)),_xlpm.factor,IF($G256="Probable",IF(Parametros!$B$6="Sí",1,0),1),IF(OR($A256="",$D256="",$E256=""),0,_xlpm.dias*$I256*_xlpm.factor))</f>
        <v/>
      </c>
      <c r="O256" s="33">
        <f>_xlfn.LET(_xlpm.inicio,MAX($D256,O$3),_xlpm.fin,MIN($E256,O$4),_xlpm.feriados,IF($H256="CO",FER_CO,FER_EC),_xlpm.dias,IF(_xlpm.inicio&gt;_xlpm.fin,0,NETWORKDAYS(_xlpm.inicio,_xlpm.fin,_xlpm.feriados)),_xlpm.factor,IF($G256="Probable",IF(Parametros!$B$6="Sí",1,0),1),IF(OR($A256="",$D256="",$E256=""),0,_xlpm.dias*$I256*_xlpm.factor))</f>
        <v/>
      </c>
      <c r="P256" s="34">
        <f>_xlfn.LET(_xlpm.horas,J256,_xlpm.feriados,IF($H256="CO",FER_CO,FER_EC),_xlpm.capacidad,NETWORKDAYS(J$3,J$4,_xlpm.feriados)*INDEX(Consultores!$C$6:$C$65,MATCH($A256,Consultores!$A$6:$A$65,0)),IF(_xlpm.horas=0,"",IFERROR(_xlpm.horas/_xlpm.capacidad,"")))</f>
        <v/>
      </c>
      <c r="Q256" s="34">
        <f>_xlfn.LET(_xlpm.horas,K256,_xlpm.feriados,IF($H256="CO",FER_CO,FER_EC),_xlpm.capacidad,NETWORKDAYS(K$3,K$4,_xlpm.feriados)*INDEX(Consultores!$C$6:$C$65,MATCH($A256,Consultores!$A$6:$A$65,0)),IF(_xlpm.horas=0,"",IFERROR(_xlpm.horas/_xlpm.capacidad,"")))</f>
        <v/>
      </c>
      <c r="R256" s="34">
        <f>_xlfn.LET(_xlpm.horas,L256,_xlpm.feriados,IF($H256="CO",FER_CO,FER_EC),_xlpm.capacidad,NETWORKDAYS(L$3,L$4,_xlpm.feriados)*INDEX(Consultores!$C$6:$C$65,MATCH($A256,Consultores!$A$6:$A$65,0)),IF(_xlpm.horas=0,"",IFERROR(_xlpm.horas/_xlpm.capacidad,"")))</f>
        <v/>
      </c>
      <c r="S256" s="34">
        <f>_xlfn.LET(_xlpm.horas,M256,_xlpm.feriados,IF($H256="CO",FER_CO,FER_EC),_xlpm.capacidad,NETWORKDAYS(M$3,M$4,_xlpm.feriados)*INDEX(Consultores!$C$6:$C$65,MATCH($A256,Consultores!$A$6:$A$65,0)),IF(_xlpm.horas=0,"",IFERROR(_xlpm.horas/_xlpm.capacidad,"")))</f>
        <v/>
      </c>
      <c r="T256" s="34">
        <f>_xlfn.LET(_xlpm.horas,N256,_xlpm.feriados,IF($H256="CO",FER_CO,FER_EC),_xlpm.capacidad,NETWORKDAYS(N$3,N$4,_xlpm.feriados)*INDEX(Consultores!$C$6:$C$65,MATCH($A256,Consultores!$A$6:$A$65,0)),IF(_xlpm.horas=0,"",IFERROR(_xlpm.horas/_xlpm.capacidad,"")))</f>
        <v/>
      </c>
      <c r="U256" s="34">
        <f>_xlfn.LET(_xlpm.horas,O256,_xlpm.feriados,IF($H256="CO",FER_CO,FER_EC),_xlpm.capacidad,NETWORKDAYS(O$3,O$4,_xlpm.feriados)*INDEX(Consultores!$C$6:$C$65,MATCH($A256,Consultores!$A$6:$A$65,0)),IF(_xlpm.horas=0,"",IFERROR(_xlpm.horas/_xlpm.capacidad,"")))</f>
        <v/>
      </c>
    </row>
    <row r="257">
      <c r="A257" s="25" t="n"/>
      <c r="B257" s="25" t="n"/>
      <c r="C257" s="25" t="n"/>
      <c r="D257" s="30" t="n"/>
      <c r="E257" s="30" t="n"/>
      <c r="F257" s="26" t="n"/>
      <c r="G257" s="25" t="n"/>
      <c r="H257" s="31">
        <f>IF($A257="","",IFERROR(INDEX(Consultores!$B$6:$B$65,MATCH($A257,Consultores!$A$6:$A$65,0)),"No existe"))</f>
        <v/>
      </c>
      <c r="I257" s="32">
        <f>IF($F257="",0,$F257/5)</f>
        <v/>
      </c>
      <c r="J257" s="33">
        <f>_xlfn.LET(_xlpm.inicio,MAX($D257,J$3),_xlpm.fin,MIN($E257,J$4),_xlpm.feriados,IF($H257="CO",FER_CO,FER_EC),_xlpm.dias,IF(_xlpm.inicio&gt;_xlpm.fin,0,NETWORKDAYS(_xlpm.inicio,_xlpm.fin,_xlpm.feriados)),_xlpm.factor,IF($G257="Probable",IF(Parametros!$B$6="Sí",1,0),1),IF(OR($A257="",$D257="",$E257=""),0,_xlpm.dias*$I257*_xlpm.factor))</f>
        <v/>
      </c>
      <c r="K257" s="33">
        <f>_xlfn.LET(_xlpm.inicio,MAX($D257,K$3),_xlpm.fin,MIN($E257,K$4),_xlpm.feriados,IF($H257="CO",FER_CO,FER_EC),_xlpm.dias,IF(_xlpm.inicio&gt;_xlpm.fin,0,NETWORKDAYS(_xlpm.inicio,_xlpm.fin,_xlpm.feriados)),_xlpm.factor,IF($G257="Probable",IF(Parametros!$B$6="Sí",1,0),1),IF(OR($A257="",$D257="",$E257=""),0,_xlpm.dias*$I257*_xlpm.factor))</f>
        <v/>
      </c>
      <c r="L257" s="33">
        <f>_xlfn.LET(_xlpm.inicio,MAX($D257,L$3),_xlpm.fin,MIN($E257,L$4),_xlpm.feriados,IF($H257="CO",FER_CO,FER_EC),_xlpm.dias,IF(_xlpm.inicio&gt;_xlpm.fin,0,NETWORKDAYS(_xlpm.inicio,_xlpm.fin,_xlpm.feriados)),_xlpm.factor,IF($G257="Probable",IF(Parametros!$B$6="Sí",1,0),1),IF(OR($A257="",$D257="",$E257=""),0,_xlpm.dias*$I257*_xlpm.factor))</f>
        <v/>
      </c>
      <c r="M257" s="33">
        <f>_xlfn.LET(_xlpm.inicio,MAX($D257,M$3),_xlpm.fin,MIN($E257,M$4),_xlpm.feriados,IF($H257="CO",FER_CO,FER_EC),_xlpm.dias,IF(_xlpm.inicio&gt;_xlpm.fin,0,NETWORKDAYS(_xlpm.inicio,_xlpm.fin,_xlpm.feriados)),_xlpm.factor,IF($G257="Probable",IF(Parametros!$B$6="Sí",1,0),1),IF(OR($A257="",$D257="",$E257=""),0,_xlpm.dias*$I257*_xlpm.factor))</f>
        <v/>
      </c>
      <c r="N257" s="33">
        <f>_xlfn.LET(_xlpm.inicio,MAX($D257,N$3),_xlpm.fin,MIN($E257,N$4),_xlpm.feriados,IF($H257="CO",FER_CO,FER_EC),_xlpm.dias,IF(_xlpm.inicio&gt;_xlpm.fin,0,NETWORKDAYS(_xlpm.inicio,_xlpm.fin,_xlpm.feriados)),_xlpm.factor,IF($G257="Probable",IF(Parametros!$B$6="Sí",1,0),1),IF(OR($A257="",$D257="",$E257=""),0,_xlpm.dias*$I257*_xlpm.factor))</f>
        <v/>
      </c>
      <c r="O257" s="33">
        <f>_xlfn.LET(_xlpm.inicio,MAX($D257,O$3),_xlpm.fin,MIN($E257,O$4),_xlpm.feriados,IF($H257="CO",FER_CO,FER_EC),_xlpm.dias,IF(_xlpm.inicio&gt;_xlpm.fin,0,NETWORKDAYS(_xlpm.inicio,_xlpm.fin,_xlpm.feriados)),_xlpm.factor,IF($G257="Probable",IF(Parametros!$B$6="Sí",1,0),1),IF(OR($A257="",$D257="",$E257=""),0,_xlpm.dias*$I257*_xlpm.factor))</f>
        <v/>
      </c>
      <c r="P257" s="34">
        <f>_xlfn.LET(_xlpm.horas,J257,_xlpm.feriados,IF($H257="CO",FER_CO,FER_EC),_xlpm.capacidad,NETWORKDAYS(J$3,J$4,_xlpm.feriados)*INDEX(Consultores!$C$6:$C$65,MATCH($A257,Consultores!$A$6:$A$65,0)),IF(_xlpm.horas=0,"",IFERROR(_xlpm.horas/_xlpm.capacidad,"")))</f>
        <v/>
      </c>
      <c r="Q257" s="34">
        <f>_xlfn.LET(_xlpm.horas,K257,_xlpm.feriados,IF($H257="CO",FER_CO,FER_EC),_xlpm.capacidad,NETWORKDAYS(K$3,K$4,_xlpm.feriados)*INDEX(Consultores!$C$6:$C$65,MATCH($A257,Consultores!$A$6:$A$65,0)),IF(_xlpm.horas=0,"",IFERROR(_xlpm.horas/_xlpm.capacidad,"")))</f>
        <v/>
      </c>
      <c r="R257" s="34">
        <f>_xlfn.LET(_xlpm.horas,L257,_xlpm.feriados,IF($H257="CO",FER_CO,FER_EC),_xlpm.capacidad,NETWORKDAYS(L$3,L$4,_xlpm.feriados)*INDEX(Consultores!$C$6:$C$65,MATCH($A257,Consultores!$A$6:$A$65,0)),IF(_xlpm.horas=0,"",IFERROR(_xlpm.horas/_xlpm.capacidad,"")))</f>
        <v/>
      </c>
      <c r="S257" s="34">
        <f>_xlfn.LET(_xlpm.horas,M257,_xlpm.feriados,IF($H257="CO",FER_CO,FER_EC),_xlpm.capacidad,NETWORKDAYS(M$3,M$4,_xlpm.feriados)*INDEX(Consultores!$C$6:$C$65,MATCH($A257,Consultores!$A$6:$A$65,0)),IF(_xlpm.horas=0,"",IFERROR(_xlpm.horas/_xlpm.capacidad,"")))</f>
        <v/>
      </c>
      <c r="T257" s="34">
        <f>_xlfn.LET(_xlpm.horas,N257,_xlpm.feriados,IF($H257="CO",FER_CO,FER_EC),_xlpm.capacidad,NETWORKDAYS(N$3,N$4,_xlpm.feriados)*INDEX(Consultores!$C$6:$C$65,MATCH($A257,Consultores!$A$6:$A$65,0)),IF(_xlpm.horas=0,"",IFERROR(_xlpm.horas/_xlpm.capacidad,"")))</f>
        <v/>
      </c>
      <c r="U257" s="34">
        <f>_xlfn.LET(_xlpm.horas,O257,_xlpm.feriados,IF($H257="CO",FER_CO,FER_EC),_xlpm.capacidad,NETWORKDAYS(O$3,O$4,_xlpm.feriados)*INDEX(Consultores!$C$6:$C$65,MATCH($A257,Consultores!$A$6:$A$65,0)),IF(_xlpm.horas=0,"",IFERROR(_xlpm.horas/_xlpm.capacidad,"")))</f>
        <v/>
      </c>
    </row>
    <row r="258">
      <c r="A258" s="25" t="n"/>
      <c r="B258" s="25" t="n"/>
      <c r="C258" s="25" t="n"/>
      <c r="D258" s="30" t="n"/>
      <c r="E258" s="30" t="n"/>
      <c r="F258" s="26" t="n"/>
      <c r="G258" s="25" t="n"/>
      <c r="H258" s="31">
        <f>IF($A258="","",IFERROR(INDEX(Consultores!$B$6:$B$65,MATCH($A258,Consultores!$A$6:$A$65,0)),"No existe"))</f>
        <v/>
      </c>
      <c r="I258" s="32">
        <f>IF($F258="",0,$F258/5)</f>
        <v/>
      </c>
      <c r="J258" s="33">
        <f>_xlfn.LET(_xlpm.inicio,MAX($D258,J$3),_xlpm.fin,MIN($E258,J$4),_xlpm.feriados,IF($H258="CO",FER_CO,FER_EC),_xlpm.dias,IF(_xlpm.inicio&gt;_xlpm.fin,0,NETWORKDAYS(_xlpm.inicio,_xlpm.fin,_xlpm.feriados)),_xlpm.factor,IF($G258="Probable",IF(Parametros!$B$6="Sí",1,0),1),IF(OR($A258="",$D258="",$E258=""),0,_xlpm.dias*$I258*_xlpm.factor))</f>
        <v/>
      </c>
      <c r="K258" s="33">
        <f>_xlfn.LET(_xlpm.inicio,MAX($D258,K$3),_xlpm.fin,MIN($E258,K$4),_xlpm.feriados,IF($H258="CO",FER_CO,FER_EC),_xlpm.dias,IF(_xlpm.inicio&gt;_xlpm.fin,0,NETWORKDAYS(_xlpm.inicio,_xlpm.fin,_xlpm.feriados)),_xlpm.factor,IF($G258="Probable",IF(Parametros!$B$6="Sí",1,0),1),IF(OR($A258="",$D258="",$E258=""),0,_xlpm.dias*$I258*_xlpm.factor))</f>
        <v/>
      </c>
      <c r="L258" s="33">
        <f>_xlfn.LET(_xlpm.inicio,MAX($D258,L$3),_xlpm.fin,MIN($E258,L$4),_xlpm.feriados,IF($H258="CO",FER_CO,FER_EC),_xlpm.dias,IF(_xlpm.inicio&gt;_xlpm.fin,0,NETWORKDAYS(_xlpm.inicio,_xlpm.fin,_xlpm.feriados)),_xlpm.factor,IF($G258="Probable",IF(Parametros!$B$6="Sí",1,0),1),IF(OR($A258="",$D258="",$E258=""),0,_xlpm.dias*$I258*_xlpm.factor))</f>
        <v/>
      </c>
      <c r="M258" s="33">
        <f>_xlfn.LET(_xlpm.inicio,MAX($D258,M$3),_xlpm.fin,MIN($E258,M$4),_xlpm.feriados,IF($H258="CO",FER_CO,FER_EC),_xlpm.dias,IF(_xlpm.inicio&gt;_xlpm.fin,0,NETWORKDAYS(_xlpm.inicio,_xlpm.fin,_xlpm.feriados)),_xlpm.factor,IF($G258="Probable",IF(Parametros!$B$6="Sí",1,0),1),IF(OR($A258="",$D258="",$E258=""),0,_xlpm.dias*$I258*_xlpm.factor))</f>
        <v/>
      </c>
      <c r="N258" s="33">
        <f>_xlfn.LET(_xlpm.inicio,MAX($D258,N$3),_xlpm.fin,MIN($E258,N$4),_xlpm.feriados,IF($H258="CO",FER_CO,FER_EC),_xlpm.dias,IF(_xlpm.inicio&gt;_xlpm.fin,0,NETWORKDAYS(_xlpm.inicio,_xlpm.fin,_xlpm.feriados)),_xlpm.factor,IF($G258="Probable",IF(Parametros!$B$6="Sí",1,0),1),IF(OR($A258="",$D258="",$E258=""),0,_xlpm.dias*$I258*_xlpm.factor))</f>
        <v/>
      </c>
      <c r="O258" s="33">
        <f>_xlfn.LET(_xlpm.inicio,MAX($D258,O$3),_xlpm.fin,MIN($E258,O$4),_xlpm.feriados,IF($H258="CO",FER_CO,FER_EC),_xlpm.dias,IF(_xlpm.inicio&gt;_xlpm.fin,0,NETWORKDAYS(_xlpm.inicio,_xlpm.fin,_xlpm.feriados)),_xlpm.factor,IF($G258="Probable",IF(Parametros!$B$6="Sí",1,0),1),IF(OR($A258="",$D258="",$E258=""),0,_xlpm.dias*$I258*_xlpm.factor))</f>
        <v/>
      </c>
      <c r="P258" s="34">
        <f>_xlfn.LET(_xlpm.horas,J258,_xlpm.feriados,IF($H258="CO",FER_CO,FER_EC),_xlpm.capacidad,NETWORKDAYS(J$3,J$4,_xlpm.feriados)*INDEX(Consultores!$C$6:$C$65,MATCH($A258,Consultores!$A$6:$A$65,0)),IF(_xlpm.horas=0,"",IFERROR(_xlpm.horas/_xlpm.capacidad,"")))</f>
        <v/>
      </c>
      <c r="Q258" s="34">
        <f>_xlfn.LET(_xlpm.horas,K258,_xlpm.feriados,IF($H258="CO",FER_CO,FER_EC),_xlpm.capacidad,NETWORKDAYS(K$3,K$4,_xlpm.feriados)*INDEX(Consultores!$C$6:$C$65,MATCH($A258,Consultores!$A$6:$A$65,0)),IF(_xlpm.horas=0,"",IFERROR(_xlpm.horas/_xlpm.capacidad,"")))</f>
        <v/>
      </c>
      <c r="R258" s="34">
        <f>_xlfn.LET(_xlpm.horas,L258,_xlpm.feriados,IF($H258="CO",FER_CO,FER_EC),_xlpm.capacidad,NETWORKDAYS(L$3,L$4,_xlpm.feriados)*INDEX(Consultores!$C$6:$C$65,MATCH($A258,Consultores!$A$6:$A$65,0)),IF(_xlpm.horas=0,"",IFERROR(_xlpm.horas/_xlpm.capacidad,"")))</f>
        <v/>
      </c>
      <c r="S258" s="34">
        <f>_xlfn.LET(_xlpm.horas,M258,_xlpm.feriados,IF($H258="CO",FER_CO,FER_EC),_xlpm.capacidad,NETWORKDAYS(M$3,M$4,_xlpm.feriados)*INDEX(Consultores!$C$6:$C$65,MATCH($A258,Consultores!$A$6:$A$65,0)),IF(_xlpm.horas=0,"",IFERROR(_xlpm.horas/_xlpm.capacidad,"")))</f>
        <v/>
      </c>
      <c r="T258" s="34">
        <f>_xlfn.LET(_xlpm.horas,N258,_xlpm.feriados,IF($H258="CO",FER_CO,FER_EC),_xlpm.capacidad,NETWORKDAYS(N$3,N$4,_xlpm.feriados)*INDEX(Consultores!$C$6:$C$65,MATCH($A258,Consultores!$A$6:$A$65,0)),IF(_xlpm.horas=0,"",IFERROR(_xlpm.horas/_xlpm.capacidad,"")))</f>
        <v/>
      </c>
      <c r="U258" s="34">
        <f>_xlfn.LET(_xlpm.horas,O258,_xlpm.feriados,IF($H258="CO",FER_CO,FER_EC),_xlpm.capacidad,NETWORKDAYS(O$3,O$4,_xlpm.feriados)*INDEX(Consultores!$C$6:$C$65,MATCH($A258,Consultores!$A$6:$A$65,0)),IF(_xlpm.horas=0,"",IFERROR(_xlpm.horas/_xlpm.capacidad,"")))</f>
        <v/>
      </c>
    </row>
    <row r="259">
      <c r="A259" s="25" t="n"/>
      <c r="B259" s="25" t="n"/>
      <c r="C259" s="25" t="n"/>
      <c r="D259" s="30" t="n"/>
      <c r="E259" s="30" t="n"/>
      <c r="F259" s="26" t="n"/>
      <c r="G259" s="25" t="n"/>
      <c r="H259" s="31">
        <f>IF($A259="","",IFERROR(INDEX(Consultores!$B$6:$B$65,MATCH($A259,Consultores!$A$6:$A$65,0)),"No existe"))</f>
        <v/>
      </c>
      <c r="I259" s="32">
        <f>IF($F259="",0,$F259/5)</f>
        <v/>
      </c>
      <c r="J259" s="33">
        <f>_xlfn.LET(_xlpm.inicio,MAX($D259,J$3),_xlpm.fin,MIN($E259,J$4),_xlpm.feriados,IF($H259="CO",FER_CO,FER_EC),_xlpm.dias,IF(_xlpm.inicio&gt;_xlpm.fin,0,NETWORKDAYS(_xlpm.inicio,_xlpm.fin,_xlpm.feriados)),_xlpm.factor,IF($G259="Probable",IF(Parametros!$B$6="Sí",1,0),1),IF(OR($A259="",$D259="",$E259=""),0,_xlpm.dias*$I259*_xlpm.factor))</f>
        <v/>
      </c>
      <c r="K259" s="33">
        <f>_xlfn.LET(_xlpm.inicio,MAX($D259,K$3),_xlpm.fin,MIN($E259,K$4),_xlpm.feriados,IF($H259="CO",FER_CO,FER_EC),_xlpm.dias,IF(_xlpm.inicio&gt;_xlpm.fin,0,NETWORKDAYS(_xlpm.inicio,_xlpm.fin,_xlpm.feriados)),_xlpm.factor,IF($G259="Probable",IF(Parametros!$B$6="Sí",1,0),1),IF(OR($A259="",$D259="",$E259=""),0,_xlpm.dias*$I259*_xlpm.factor))</f>
        <v/>
      </c>
      <c r="L259" s="33">
        <f>_xlfn.LET(_xlpm.inicio,MAX($D259,L$3),_xlpm.fin,MIN($E259,L$4),_xlpm.feriados,IF($H259="CO",FER_CO,FER_EC),_xlpm.dias,IF(_xlpm.inicio&gt;_xlpm.fin,0,NETWORKDAYS(_xlpm.inicio,_xlpm.fin,_xlpm.feriados)),_xlpm.factor,IF($G259="Probable",IF(Parametros!$B$6="Sí",1,0),1),IF(OR($A259="",$D259="",$E259=""),0,_xlpm.dias*$I259*_xlpm.factor))</f>
        <v/>
      </c>
      <c r="M259" s="33">
        <f>_xlfn.LET(_xlpm.inicio,MAX($D259,M$3),_xlpm.fin,MIN($E259,M$4),_xlpm.feriados,IF($H259="CO",FER_CO,FER_EC),_xlpm.dias,IF(_xlpm.inicio&gt;_xlpm.fin,0,NETWORKDAYS(_xlpm.inicio,_xlpm.fin,_xlpm.feriados)),_xlpm.factor,IF($G259="Probable",IF(Parametros!$B$6="Sí",1,0),1),IF(OR($A259="",$D259="",$E259=""),0,_xlpm.dias*$I259*_xlpm.factor))</f>
        <v/>
      </c>
      <c r="N259" s="33">
        <f>_xlfn.LET(_xlpm.inicio,MAX($D259,N$3),_xlpm.fin,MIN($E259,N$4),_xlpm.feriados,IF($H259="CO",FER_CO,FER_EC),_xlpm.dias,IF(_xlpm.inicio&gt;_xlpm.fin,0,NETWORKDAYS(_xlpm.inicio,_xlpm.fin,_xlpm.feriados)),_xlpm.factor,IF($G259="Probable",IF(Parametros!$B$6="Sí",1,0),1),IF(OR($A259="",$D259="",$E259=""),0,_xlpm.dias*$I259*_xlpm.factor))</f>
        <v/>
      </c>
      <c r="O259" s="33">
        <f>_xlfn.LET(_xlpm.inicio,MAX($D259,O$3),_xlpm.fin,MIN($E259,O$4),_xlpm.feriados,IF($H259="CO",FER_CO,FER_EC),_xlpm.dias,IF(_xlpm.inicio&gt;_xlpm.fin,0,NETWORKDAYS(_xlpm.inicio,_xlpm.fin,_xlpm.feriados)),_xlpm.factor,IF($G259="Probable",IF(Parametros!$B$6="Sí",1,0),1),IF(OR($A259="",$D259="",$E259=""),0,_xlpm.dias*$I259*_xlpm.factor))</f>
        <v/>
      </c>
      <c r="P259" s="34">
        <f>_xlfn.LET(_xlpm.horas,J259,_xlpm.feriados,IF($H259="CO",FER_CO,FER_EC),_xlpm.capacidad,NETWORKDAYS(J$3,J$4,_xlpm.feriados)*INDEX(Consultores!$C$6:$C$65,MATCH($A259,Consultores!$A$6:$A$65,0)),IF(_xlpm.horas=0,"",IFERROR(_xlpm.horas/_xlpm.capacidad,"")))</f>
        <v/>
      </c>
      <c r="Q259" s="34">
        <f>_xlfn.LET(_xlpm.horas,K259,_xlpm.feriados,IF($H259="CO",FER_CO,FER_EC),_xlpm.capacidad,NETWORKDAYS(K$3,K$4,_xlpm.feriados)*INDEX(Consultores!$C$6:$C$65,MATCH($A259,Consultores!$A$6:$A$65,0)),IF(_xlpm.horas=0,"",IFERROR(_xlpm.horas/_xlpm.capacidad,"")))</f>
        <v/>
      </c>
      <c r="R259" s="34">
        <f>_xlfn.LET(_xlpm.horas,L259,_xlpm.feriados,IF($H259="CO",FER_CO,FER_EC),_xlpm.capacidad,NETWORKDAYS(L$3,L$4,_xlpm.feriados)*INDEX(Consultores!$C$6:$C$65,MATCH($A259,Consultores!$A$6:$A$65,0)),IF(_xlpm.horas=0,"",IFERROR(_xlpm.horas/_xlpm.capacidad,"")))</f>
        <v/>
      </c>
      <c r="S259" s="34">
        <f>_xlfn.LET(_xlpm.horas,M259,_xlpm.feriados,IF($H259="CO",FER_CO,FER_EC),_xlpm.capacidad,NETWORKDAYS(M$3,M$4,_xlpm.feriados)*INDEX(Consultores!$C$6:$C$65,MATCH($A259,Consultores!$A$6:$A$65,0)),IF(_xlpm.horas=0,"",IFERROR(_xlpm.horas/_xlpm.capacidad,"")))</f>
        <v/>
      </c>
      <c r="T259" s="34">
        <f>_xlfn.LET(_xlpm.horas,N259,_xlpm.feriados,IF($H259="CO",FER_CO,FER_EC),_xlpm.capacidad,NETWORKDAYS(N$3,N$4,_xlpm.feriados)*INDEX(Consultores!$C$6:$C$65,MATCH($A259,Consultores!$A$6:$A$65,0)),IF(_xlpm.horas=0,"",IFERROR(_xlpm.horas/_xlpm.capacidad,"")))</f>
        <v/>
      </c>
      <c r="U259" s="34">
        <f>_xlfn.LET(_xlpm.horas,O259,_xlpm.feriados,IF($H259="CO",FER_CO,FER_EC),_xlpm.capacidad,NETWORKDAYS(O$3,O$4,_xlpm.feriados)*INDEX(Consultores!$C$6:$C$65,MATCH($A259,Consultores!$A$6:$A$65,0)),IF(_xlpm.horas=0,"",IFERROR(_xlpm.horas/_xlpm.capacidad,"")))</f>
        <v/>
      </c>
    </row>
    <row r="260">
      <c r="A260" s="25" t="n"/>
      <c r="B260" s="25" t="n"/>
      <c r="C260" s="25" t="n"/>
      <c r="D260" s="30" t="n"/>
      <c r="E260" s="30" t="n"/>
      <c r="F260" s="26" t="n"/>
      <c r="G260" s="25" t="n"/>
      <c r="H260" s="31">
        <f>IF($A260="","",IFERROR(INDEX(Consultores!$B$6:$B$65,MATCH($A260,Consultores!$A$6:$A$65,0)),"No existe"))</f>
        <v/>
      </c>
      <c r="I260" s="32">
        <f>IF($F260="",0,$F260/5)</f>
        <v/>
      </c>
      <c r="J260" s="33">
        <f>_xlfn.LET(_xlpm.inicio,MAX($D260,J$3),_xlpm.fin,MIN($E260,J$4),_xlpm.feriados,IF($H260="CO",FER_CO,FER_EC),_xlpm.dias,IF(_xlpm.inicio&gt;_xlpm.fin,0,NETWORKDAYS(_xlpm.inicio,_xlpm.fin,_xlpm.feriados)),_xlpm.factor,IF($G260="Probable",IF(Parametros!$B$6="Sí",1,0),1),IF(OR($A260="",$D260="",$E260=""),0,_xlpm.dias*$I260*_xlpm.factor))</f>
        <v/>
      </c>
      <c r="K260" s="33">
        <f>_xlfn.LET(_xlpm.inicio,MAX($D260,K$3),_xlpm.fin,MIN($E260,K$4),_xlpm.feriados,IF($H260="CO",FER_CO,FER_EC),_xlpm.dias,IF(_xlpm.inicio&gt;_xlpm.fin,0,NETWORKDAYS(_xlpm.inicio,_xlpm.fin,_xlpm.feriados)),_xlpm.factor,IF($G260="Probable",IF(Parametros!$B$6="Sí",1,0),1),IF(OR($A260="",$D260="",$E260=""),0,_xlpm.dias*$I260*_xlpm.factor))</f>
        <v/>
      </c>
      <c r="L260" s="33">
        <f>_xlfn.LET(_xlpm.inicio,MAX($D260,L$3),_xlpm.fin,MIN($E260,L$4),_xlpm.feriados,IF($H260="CO",FER_CO,FER_EC),_xlpm.dias,IF(_xlpm.inicio&gt;_xlpm.fin,0,NETWORKDAYS(_xlpm.inicio,_xlpm.fin,_xlpm.feriados)),_xlpm.factor,IF($G260="Probable",IF(Parametros!$B$6="Sí",1,0),1),IF(OR($A260="",$D260="",$E260=""),0,_xlpm.dias*$I260*_xlpm.factor))</f>
        <v/>
      </c>
      <c r="M260" s="33">
        <f>_xlfn.LET(_xlpm.inicio,MAX($D260,M$3),_xlpm.fin,MIN($E260,M$4),_xlpm.feriados,IF($H260="CO",FER_CO,FER_EC),_xlpm.dias,IF(_xlpm.inicio&gt;_xlpm.fin,0,NETWORKDAYS(_xlpm.inicio,_xlpm.fin,_xlpm.feriados)),_xlpm.factor,IF($G260="Probable",IF(Parametros!$B$6="Sí",1,0),1),IF(OR($A260="",$D260="",$E260=""),0,_xlpm.dias*$I260*_xlpm.factor))</f>
        <v/>
      </c>
      <c r="N260" s="33">
        <f>_xlfn.LET(_xlpm.inicio,MAX($D260,N$3),_xlpm.fin,MIN($E260,N$4),_xlpm.feriados,IF($H260="CO",FER_CO,FER_EC),_xlpm.dias,IF(_xlpm.inicio&gt;_xlpm.fin,0,NETWORKDAYS(_xlpm.inicio,_xlpm.fin,_xlpm.feriados)),_xlpm.factor,IF($G260="Probable",IF(Parametros!$B$6="Sí",1,0),1),IF(OR($A260="",$D260="",$E260=""),0,_xlpm.dias*$I260*_xlpm.factor))</f>
        <v/>
      </c>
      <c r="O260" s="33">
        <f>_xlfn.LET(_xlpm.inicio,MAX($D260,O$3),_xlpm.fin,MIN($E260,O$4),_xlpm.feriados,IF($H260="CO",FER_CO,FER_EC),_xlpm.dias,IF(_xlpm.inicio&gt;_xlpm.fin,0,NETWORKDAYS(_xlpm.inicio,_xlpm.fin,_xlpm.feriados)),_xlpm.factor,IF($G260="Probable",IF(Parametros!$B$6="Sí",1,0),1),IF(OR($A260="",$D260="",$E260=""),0,_xlpm.dias*$I260*_xlpm.factor))</f>
        <v/>
      </c>
      <c r="P260" s="34">
        <f>_xlfn.LET(_xlpm.horas,J260,_xlpm.feriados,IF($H260="CO",FER_CO,FER_EC),_xlpm.capacidad,NETWORKDAYS(J$3,J$4,_xlpm.feriados)*INDEX(Consultores!$C$6:$C$65,MATCH($A260,Consultores!$A$6:$A$65,0)),IF(_xlpm.horas=0,"",IFERROR(_xlpm.horas/_xlpm.capacidad,"")))</f>
        <v/>
      </c>
      <c r="Q260" s="34">
        <f>_xlfn.LET(_xlpm.horas,K260,_xlpm.feriados,IF($H260="CO",FER_CO,FER_EC),_xlpm.capacidad,NETWORKDAYS(K$3,K$4,_xlpm.feriados)*INDEX(Consultores!$C$6:$C$65,MATCH($A260,Consultores!$A$6:$A$65,0)),IF(_xlpm.horas=0,"",IFERROR(_xlpm.horas/_xlpm.capacidad,"")))</f>
        <v/>
      </c>
      <c r="R260" s="34">
        <f>_xlfn.LET(_xlpm.horas,L260,_xlpm.feriados,IF($H260="CO",FER_CO,FER_EC),_xlpm.capacidad,NETWORKDAYS(L$3,L$4,_xlpm.feriados)*INDEX(Consultores!$C$6:$C$65,MATCH($A260,Consultores!$A$6:$A$65,0)),IF(_xlpm.horas=0,"",IFERROR(_xlpm.horas/_xlpm.capacidad,"")))</f>
        <v/>
      </c>
      <c r="S260" s="34">
        <f>_xlfn.LET(_xlpm.horas,M260,_xlpm.feriados,IF($H260="CO",FER_CO,FER_EC),_xlpm.capacidad,NETWORKDAYS(M$3,M$4,_xlpm.feriados)*INDEX(Consultores!$C$6:$C$65,MATCH($A260,Consultores!$A$6:$A$65,0)),IF(_xlpm.horas=0,"",IFERROR(_xlpm.horas/_xlpm.capacidad,"")))</f>
        <v/>
      </c>
      <c r="T260" s="34">
        <f>_xlfn.LET(_xlpm.horas,N260,_xlpm.feriados,IF($H260="CO",FER_CO,FER_EC),_xlpm.capacidad,NETWORKDAYS(N$3,N$4,_xlpm.feriados)*INDEX(Consultores!$C$6:$C$65,MATCH($A260,Consultores!$A$6:$A$65,0)),IF(_xlpm.horas=0,"",IFERROR(_xlpm.horas/_xlpm.capacidad,"")))</f>
        <v/>
      </c>
      <c r="U260" s="34">
        <f>_xlfn.LET(_xlpm.horas,O260,_xlpm.feriados,IF($H260="CO",FER_CO,FER_EC),_xlpm.capacidad,NETWORKDAYS(O$3,O$4,_xlpm.feriados)*INDEX(Consultores!$C$6:$C$65,MATCH($A260,Consultores!$A$6:$A$65,0)),IF(_xlpm.horas=0,"",IFERROR(_xlpm.horas/_xlpm.capacidad,"")))</f>
        <v/>
      </c>
    </row>
    <row r="261">
      <c r="A261" s="25" t="n"/>
      <c r="B261" s="25" t="n"/>
      <c r="C261" s="25" t="n"/>
      <c r="D261" s="30" t="n"/>
      <c r="E261" s="30" t="n"/>
      <c r="F261" s="26" t="n"/>
      <c r="G261" s="25" t="n"/>
      <c r="H261" s="31">
        <f>IF($A261="","",IFERROR(INDEX(Consultores!$B$6:$B$65,MATCH($A261,Consultores!$A$6:$A$65,0)),"No existe"))</f>
        <v/>
      </c>
      <c r="I261" s="32">
        <f>IF($F261="",0,$F261/5)</f>
        <v/>
      </c>
      <c r="J261" s="33">
        <f>_xlfn.LET(_xlpm.inicio,MAX($D261,J$3),_xlpm.fin,MIN($E261,J$4),_xlpm.feriados,IF($H261="CO",FER_CO,FER_EC),_xlpm.dias,IF(_xlpm.inicio&gt;_xlpm.fin,0,NETWORKDAYS(_xlpm.inicio,_xlpm.fin,_xlpm.feriados)),_xlpm.factor,IF($G261="Probable",IF(Parametros!$B$6="Sí",1,0),1),IF(OR($A261="",$D261="",$E261=""),0,_xlpm.dias*$I261*_xlpm.factor))</f>
        <v/>
      </c>
      <c r="K261" s="33">
        <f>_xlfn.LET(_xlpm.inicio,MAX($D261,K$3),_xlpm.fin,MIN($E261,K$4),_xlpm.feriados,IF($H261="CO",FER_CO,FER_EC),_xlpm.dias,IF(_xlpm.inicio&gt;_xlpm.fin,0,NETWORKDAYS(_xlpm.inicio,_xlpm.fin,_xlpm.feriados)),_xlpm.factor,IF($G261="Probable",IF(Parametros!$B$6="Sí",1,0),1),IF(OR($A261="",$D261="",$E261=""),0,_xlpm.dias*$I261*_xlpm.factor))</f>
        <v/>
      </c>
      <c r="L261" s="33">
        <f>_xlfn.LET(_xlpm.inicio,MAX($D261,L$3),_xlpm.fin,MIN($E261,L$4),_xlpm.feriados,IF($H261="CO",FER_CO,FER_EC),_xlpm.dias,IF(_xlpm.inicio&gt;_xlpm.fin,0,NETWORKDAYS(_xlpm.inicio,_xlpm.fin,_xlpm.feriados)),_xlpm.factor,IF($G261="Probable",IF(Parametros!$B$6="Sí",1,0),1),IF(OR($A261="",$D261="",$E261=""),0,_xlpm.dias*$I261*_xlpm.factor))</f>
        <v/>
      </c>
      <c r="M261" s="33">
        <f>_xlfn.LET(_xlpm.inicio,MAX($D261,M$3),_xlpm.fin,MIN($E261,M$4),_xlpm.feriados,IF($H261="CO",FER_CO,FER_EC),_xlpm.dias,IF(_xlpm.inicio&gt;_xlpm.fin,0,NETWORKDAYS(_xlpm.inicio,_xlpm.fin,_xlpm.feriados)),_xlpm.factor,IF($G261="Probable",IF(Parametros!$B$6="Sí",1,0),1),IF(OR($A261="",$D261="",$E261=""),0,_xlpm.dias*$I261*_xlpm.factor))</f>
        <v/>
      </c>
      <c r="N261" s="33">
        <f>_xlfn.LET(_xlpm.inicio,MAX($D261,N$3),_xlpm.fin,MIN($E261,N$4),_xlpm.feriados,IF($H261="CO",FER_CO,FER_EC),_xlpm.dias,IF(_xlpm.inicio&gt;_xlpm.fin,0,NETWORKDAYS(_xlpm.inicio,_xlpm.fin,_xlpm.feriados)),_xlpm.factor,IF($G261="Probable",IF(Parametros!$B$6="Sí",1,0),1),IF(OR($A261="",$D261="",$E261=""),0,_xlpm.dias*$I261*_xlpm.factor))</f>
        <v/>
      </c>
      <c r="O261" s="33">
        <f>_xlfn.LET(_xlpm.inicio,MAX($D261,O$3),_xlpm.fin,MIN($E261,O$4),_xlpm.feriados,IF($H261="CO",FER_CO,FER_EC),_xlpm.dias,IF(_xlpm.inicio&gt;_xlpm.fin,0,NETWORKDAYS(_xlpm.inicio,_xlpm.fin,_xlpm.feriados)),_xlpm.factor,IF($G261="Probable",IF(Parametros!$B$6="Sí",1,0),1),IF(OR($A261="",$D261="",$E261=""),0,_xlpm.dias*$I261*_xlpm.factor))</f>
        <v/>
      </c>
      <c r="P261" s="34">
        <f>_xlfn.LET(_xlpm.horas,J261,_xlpm.feriados,IF($H261="CO",FER_CO,FER_EC),_xlpm.capacidad,NETWORKDAYS(J$3,J$4,_xlpm.feriados)*INDEX(Consultores!$C$6:$C$65,MATCH($A261,Consultores!$A$6:$A$65,0)),IF(_xlpm.horas=0,"",IFERROR(_xlpm.horas/_xlpm.capacidad,"")))</f>
        <v/>
      </c>
      <c r="Q261" s="34">
        <f>_xlfn.LET(_xlpm.horas,K261,_xlpm.feriados,IF($H261="CO",FER_CO,FER_EC),_xlpm.capacidad,NETWORKDAYS(K$3,K$4,_xlpm.feriados)*INDEX(Consultores!$C$6:$C$65,MATCH($A261,Consultores!$A$6:$A$65,0)),IF(_xlpm.horas=0,"",IFERROR(_xlpm.horas/_xlpm.capacidad,"")))</f>
        <v/>
      </c>
      <c r="R261" s="34">
        <f>_xlfn.LET(_xlpm.horas,L261,_xlpm.feriados,IF($H261="CO",FER_CO,FER_EC),_xlpm.capacidad,NETWORKDAYS(L$3,L$4,_xlpm.feriados)*INDEX(Consultores!$C$6:$C$65,MATCH($A261,Consultores!$A$6:$A$65,0)),IF(_xlpm.horas=0,"",IFERROR(_xlpm.horas/_xlpm.capacidad,"")))</f>
        <v/>
      </c>
      <c r="S261" s="34">
        <f>_xlfn.LET(_xlpm.horas,M261,_xlpm.feriados,IF($H261="CO",FER_CO,FER_EC),_xlpm.capacidad,NETWORKDAYS(M$3,M$4,_xlpm.feriados)*INDEX(Consultores!$C$6:$C$65,MATCH($A261,Consultores!$A$6:$A$65,0)),IF(_xlpm.horas=0,"",IFERROR(_xlpm.horas/_xlpm.capacidad,"")))</f>
        <v/>
      </c>
      <c r="T261" s="34">
        <f>_xlfn.LET(_xlpm.horas,N261,_xlpm.feriados,IF($H261="CO",FER_CO,FER_EC),_xlpm.capacidad,NETWORKDAYS(N$3,N$4,_xlpm.feriados)*INDEX(Consultores!$C$6:$C$65,MATCH($A261,Consultores!$A$6:$A$65,0)),IF(_xlpm.horas=0,"",IFERROR(_xlpm.horas/_xlpm.capacidad,"")))</f>
        <v/>
      </c>
      <c r="U261" s="34">
        <f>_xlfn.LET(_xlpm.horas,O261,_xlpm.feriados,IF($H261="CO",FER_CO,FER_EC),_xlpm.capacidad,NETWORKDAYS(O$3,O$4,_xlpm.feriados)*INDEX(Consultores!$C$6:$C$65,MATCH($A261,Consultores!$A$6:$A$65,0)),IF(_xlpm.horas=0,"",IFERROR(_xlpm.horas/_xlpm.capacidad,"")))</f>
        <v/>
      </c>
    </row>
    <row r="262">
      <c r="A262" s="25" t="n"/>
      <c r="B262" s="25" t="n"/>
      <c r="C262" s="25" t="n"/>
      <c r="D262" s="30" t="n"/>
      <c r="E262" s="30" t="n"/>
      <c r="F262" s="26" t="n"/>
      <c r="G262" s="25" t="n"/>
      <c r="H262" s="31">
        <f>IF($A262="","",IFERROR(INDEX(Consultores!$B$6:$B$65,MATCH($A262,Consultores!$A$6:$A$65,0)),"No existe"))</f>
        <v/>
      </c>
      <c r="I262" s="32">
        <f>IF($F262="",0,$F262/5)</f>
        <v/>
      </c>
      <c r="J262" s="33">
        <f>_xlfn.LET(_xlpm.inicio,MAX($D262,J$3),_xlpm.fin,MIN($E262,J$4),_xlpm.feriados,IF($H262="CO",FER_CO,FER_EC),_xlpm.dias,IF(_xlpm.inicio&gt;_xlpm.fin,0,NETWORKDAYS(_xlpm.inicio,_xlpm.fin,_xlpm.feriados)),_xlpm.factor,IF($G262="Probable",IF(Parametros!$B$6="Sí",1,0),1),IF(OR($A262="",$D262="",$E262=""),0,_xlpm.dias*$I262*_xlpm.factor))</f>
        <v/>
      </c>
      <c r="K262" s="33">
        <f>_xlfn.LET(_xlpm.inicio,MAX($D262,K$3),_xlpm.fin,MIN($E262,K$4),_xlpm.feriados,IF($H262="CO",FER_CO,FER_EC),_xlpm.dias,IF(_xlpm.inicio&gt;_xlpm.fin,0,NETWORKDAYS(_xlpm.inicio,_xlpm.fin,_xlpm.feriados)),_xlpm.factor,IF($G262="Probable",IF(Parametros!$B$6="Sí",1,0),1),IF(OR($A262="",$D262="",$E262=""),0,_xlpm.dias*$I262*_xlpm.factor))</f>
        <v/>
      </c>
      <c r="L262" s="33">
        <f>_xlfn.LET(_xlpm.inicio,MAX($D262,L$3),_xlpm.fin,MIN($E262,L$4),_xlpm.feriados,IF($H262="CO",FER_CO,FER_EC),_xlpm.dias,IF(_xlpm.inicio&gt;_xlpm.fin,0,NETWORKDAYS(_xlpm.inicio,_xlpm.fin,_xlpm.feriados)),_xlpm.factor,IF($G262="Probable",IF(Parametros!$B$6="Sí",1,0),1),IF(OR($A262="",$D262="",$E262=""),0,_xlpm.dias*$I262*_xlpm.factor))</f>
        <v/>
      </c>
      <c r="M262" s="33">
        <f>_xlfn.LET(_xlpm.inicio,MAX($D262,M$3),_xlpm.fin,MIN($E262,M$4),_xlpm.feriados,IF($H262="CO",FER_CO,FER_EC),_xlpm.dias,IF(_xlpm.inicio&gt;_xlpm.fin,0,NETWORKDAYS(_xlpm.inicio,_xlpm.fin,_xlpm.feriados)),_xlpm.factor,IF($G262="Probable",IF(Parametros!$B$6="Sí",1,0),1),IF(OR($A262="",$D262="",$E262=""),0,_xlpm.dias*$I262*_xlpm.factor))</f>
        <v/>
      </c>
      <c r="N262" s="33">
        <f>_xlfn.LET(_xlpm.inicio,MAX($D262,N$3),_xlpm.fin,MIN($E262,N$4),_xlpm.feriados,IF($H262="CO",FER_CO,FER_EC),_xlpm.dias,IF(_xlpm.inicio&gt;_xlpm.fin,0,NETWORKDAYS(_xlpm.inicio,_xlpm.fin,_xlpm.feriados)),_xlpm.factor,IF($G262="Probable",IF(Parametros!$B$6="Sí",1,0),1),IF(OR($A262="",$D262="",$E262=""),0,_xlpm.dias*$I262*_xlpm.factor))</f>
        <v/>
      </c>
      <c r="O262" s="33">
        <f>_xlfn.LET(_xlpm.inicio,MAX($D262,O$3),_xlpm.fin,MIN($E262,O$4),_xlpm.feriados,IF($H262="CO",FER_CO,FER_EC),_xlpm.dias,IF(_xlpm.inicio&gt;_xlpm.fin,0,NETWORKDAYS(_xlpm.inicio,_xlpm.fin,_xlpm.feriados)),_xlpm.factor,IF($G262="Probable",IF(Parametros!$B$6="Sí",1,0),1),IF(OR($A262="",$D262="",$E262=""),0,_xlpm.dias*$I262*_xlpm.factor))</f>
        <v/>
      </c>
      <c r="P262" s="34">
        <f>_xlfn.LET(_xlpm.horas,J262,_xlpm.feriados,IF($H262="CO",FER_CO,FER_EC),_xlpm.capacidad,NETWORKDAYS(J$3,J$4,_xlpm.feriados)*INDEX(Consultores!$C$6:$C$65,MATCH($A262,Consultores!$A$6:$A$65,0)),IF(_xlpm.horas=0,"",IFERROR(_xlpm.horas/_xlpm.capacidad,"")))</f>
        <v/>
      </c>
      <c r="Q262" s="34">
        <f>_xlfn.LET(_xlpm.horas,K262,_xlpm.feriados,IF($H262="CO",FER_CO,FER_EC),_xlpm.capacidad,NETWORKDAYS(K$3,K$4,_xlpm.feriados)*INDEX(Consultores!$C$6:$C$65,MATCH($A262,Consultores!$A$6:$A$65,0)),IF(_xlpm.horas=0,"",IFERROR(_xlpm.horas/_xlpm.capacidad,"")))</f>
        <v/>
      </c>
      <c r="R262" s="34">
        <f>_xlfn.LET(_xlpm.horas,L262,_xlpm.feriados,IF($H262="CO",FER_CO,FER_EC),_xlpm.capacidad,NETWORKDAYS(L$3,L$4,_xlpm.feriados)*INDEX(Consultores!$C$6:$C$65,MATCH($A262,Consultores!$A$6:$A$65,0)),IF(_xlpm.horas=0,"",IFERROR(_xlpm.horas/_xlpm.capacidad,"")))</f>
        <v/>
      </c>
      <c r="S262" s="34">
        <f>_xlfn.LET(_xlpm.horas,M262,_xlpm.feriados,IF($H262="CO",FER_CO,FER_EC),_xlpm.capacidad,NETWORKDAYS(M$3,M$4,_xlpm.feriados)*INDEX(Consultores!$C$6:$C$65,MATCH($A262,Consultores!$A$6:$A$65,0)),IF(_xlpm.horas=0,"",IFERROR(_xlpm.horas/_xlpm.capacidad,"")))</f>
        <v/>
      </c>
      <c r="T262" s="34">
        <f>_xlfn.LET(_xlpm.horas,N262,_xlpm.feriados,IF($H262="CO",FER_CO,FER_EC),_xlpm.capacidad,NETWORKDAYS(N$3,N$4,_xlpm.feriados)*INDEX(Consultores!$C$6:$C$65,MATCH($A262,Consultores!$A$6:$A$65,0)),IF(_xlpm.horas=0,"",IFERROR(_xlpm.horas/_xlpm.capacidad,"")))</f>
        <v/>
      </c>
      <c r="U262" s="34">
        <f>_xlfn.LET(_xlpm.horas,O262,_xlpm.feriados,IF($H262="CO",FER_CO,FER_EC),_xlpm.capacidad,NETWORKDAYS(O$3,O$4,_xlpm.feriados)*INDEX(Consultores!$C$6:$C$65,MATCH($A262,Consultores!$A$6:$A$65,0)),IF(_xlpm.horas=0,"",IFERROR(_xlpm.horas/_xlpm.capacidad,"")))</f>
        <v/>
      </c>
    </row>
    <row r="263">
      <c r="A263" s="25" t="n"/>
      <c r="B263" s="25" t="n"/>
      <c r="C263" s="25" t="n"/>
      <c r="D263" s="30" t="n"/>
      <c r="E263" s="30" t="n"/>
      <c r="F263" s="26" t="n"/>
      <c r="G263" s="25" t="n"/>
      <c r="H263" s="31">
        <f>IF($A263="","",IFERROR(INDEX(Consultores!$B$6:$B$65,MATCH($A263,Consultores!$A$6:$A$65,0)),"No existe"))</f>
        <v/>
      </c>
      <c r="I263" s="32">
        <f>IF($F263="",0,$F263/5)</f>
        <v/>
      </c>
      <c r="J263" s="33">
        <f>_xlfn.LET(_xlpm.inicio,MAX($D263,J$3),_xlpm.fin,MIN($E263,J$4),_xlpm.feriados,IF($H263="CO",FER_CO,FER_EC),_xlpm.dias,IF(_xlpm.inicio&gt;_xlpm.fin,0,NETWORKDAYS(_xlpm.inicio,_xlpm.fin,_xlpm.feriados)),_xlpm.factor,IF($G263="Probable",IF(Parametros!$B$6="Sí",1,0),1),IF(OR($A263="",$D263="",$E263=""),0,_xlpm.dias*$I263*_xlpm.factor))</f>
        <v/>
      </c>
      <c r="K263" s="33">
        <f>_xlfn.LET(_xlpm.inicio,MAX($D263,K$3),_xlpm.fin,MIN($E263,K$4),_xlpm.feriados,IF($H263="CO",FER_CO,FER_EC),_xlpm.dias,IF(_xlpm.inicio&gt;_xlpm.fin,0,NETWORKDAYS(_xlpm.inicio,_xlpm.fin,_xlpm.feriados)),_xlpm.factor,IF($G263="Probable",IF(Parametros!$B$6="Sí",1,0),1),IF(OR($A263="",$D263="",$E263=""),0,_xlpm.dias*$I263*_xlpm.factor))</f>
        <v/>
      </c>
      <c r="L263" s="33">
        <f>_xlfn.LET(_xlpm.inicio,MAX($D263,L$3),_xlpm.fin,MIN($E263,L$4),_xlpm.feriados,IF($H263="CO",FER_CO,FER_EC),_xlpm.dias,IF(_xlpm.inicio&gt;_xlpm.fin,0,NETWORKDAYS(_xlpm.inicio,_xlpm.fin,_xlpm.feriados)),_xlpm.factor,IF($G263="Probable",IF(Parametros!$B$6="Sí",1,0),1),IF(OR($A263="",$D263="",$E263=""),0,_xlpm.dias*$I263*_xlpm.factor))</f>
        <v/>
      </c>
      <c r="M263" s="33">
        <f>_xlfn.LET(_xlpm.inicio,MAX($D263,M$3),_xlpm.fin,MIN($E263,M$4),_xlpm.feriados,IF($H263="CO",FER_CO,FER_EC),_xlpm.dias,IF(_xlpm.inicio&gt;_xlpm.fin,0,NETWORKDAYS(_xlpm.inicio,_xlpm.fin,_xlpm.feriados)),_xlpm.factor,IF($G263="Probable",IF(Parametros!$B$6="Sí",1,0),1),IF(OR($A263="",$D263="",$E263=""),0,_xlpm.dias*$I263*_xlpm.factor))</f>
        <v/>
      </c>
      <c r="N263" s="33">
        <f>_xlfn.LET(_xlpm.inicio,MAX($D263,N$3),_xlpm.fin,MIN($E263,N$4),_xlpm.feriados,IF($H263="CO",FER_CO,FER_EC),_xlpm.dias,IF(_xlpm.inicio&gt;_xlpm.fin,0,NETWORKDAYS(_xlpm.inicio,_xlpm.fin,_xlpm.feriados)),_xlpm.factor,IF($G263="Probable",IF(Parametros!$B$6="Sí",1,0),1),IF(OR($A263="",$D263="",$E263=""),0,_xlpm.dias*$I263*_xlpm.factor))</f>
        <v/>
      </c>
      <c r="O263" s="33">
        <f>_xlfn.LET(_xlpm.inicio,MAX($D263,O$3),_xlpm.fin,MIN($E263,O$4),_xlpm.feriados,IF($H263="CO",FER_CO,FER_EC),_xlpm.dias,IF(_xlpm.inicio&gt;_xlpm.fin,0,NETWORKDAYS(_xlpm.inicio,_xlpm.fin,_xlpm.feriados)),_xlpm.factor,IF($G263="Probable",IF(Parametros!$B$6="Sí",1,0),1),IF(OR($A263="",$D263="",$E263=""),0,_xlpm.dias*$I263*_xlpm.factor))</f>
        <v/>
      </c>
      <c r="P263" s="34">
        <f>_xlfn.LET(_xlpm.horas,J263,_xlpm.feriados,IF($H263="CO",FER_CO,FER_EC),_xlpm.capacidad,NETWORKDAYS(J$3,J$4,_xlpm.feriados)*INDEX(Consultores!$C$6:$C$65,MATCH($A263,Consultores!$A$6:$A$65,0)),IF(_xlpm.horas=0,"",IFERROR(_xlpm.horas/_xlpm.capacidad,"")))</f>
        <v/>
      </c>
      <c r="Q263" s="34">
        <f>_xlfn.LET(_xlpm.horas,K263,_xlpm.feriados,IF($H263="CO",FER_CO,FER_EC),_xlpm.capacidad,NETWORKDAYS(K$3,K$4,_xlpm.feriados)*INDEX(Consultores!$C$6:$C$65,MATCH($A263,Consultores!$A$6:$A$65,0)),IF(_xlpm.horas=0,"",IFERROR(_xlpm.horas/_xlpm.capacidad,"")))</f>
        <v/>
      </c>
      <c r="R263" s="34">
        <f>_xlfn.LET(_xlpm.horas,L263,_xlpm.feriados,IF($H263="CO",FER_CO,FER_EC),_xlpm.capacidad,NETWORKDAYS(L$3,L$4,_xlpm.feriados)*INDEX(Consultores!$C$6:$C$65,MATCH($A263,Consultores!$A$6:$A$65,0)),IF(_xlpm.horas=0,"",IFERROR(_xlpm.horas/_xlpm.capacidad,"")))</f>
        <v/>
      </c>
      <c r="S263" s="34">
        <f>_xlfn.LET(_xlpm.horas,M263,_xlpm.feriados,IF($H263="CO",FER_CO,FER_EC),_xlpm.capacidad,NETWORKDAYS(M$3,M$4,_xlpm.feriados)*INDEX(Consultores!$C$6:$C$65,MATCH($A263,Consultores!$A$6:$A$65,0)),IF(_xlpm.horas=0,"",IFERROR(_xlpm.horas/_xlpm.capacidad,"")))</f>
        <v/>
      </c>
      <c r="T263" s="34">
        <f>_xlfn.LET(_xlpm.horas,N263,_xlpm.feriados,IF($H263="CO",FER_CO,FER_EC),_xlpm.capacidad,NETWORKDAYS(N$3,N$4,_xlpm.feriados)*INDEX(Consultores!$C$6:$C$65,MATCH($A263,Consultores!$A$6:$A$65,0)),IF(_xlpm.horas=0,"",IFERROR(_xlpm.horas/_xlpm.capacidad,"")))</f>
        <v/>
      </c>
      <c r="U263" s="34">
        <f>_xlfn.LET(_xlpm.horas,O263,_xlpm.feriados,IF($H263="CO",FER_CO,FER_EC),_xlpm.capacidad,NETWORKDAYS(O$3,O$4,_xlpm.feriados)*INDEX(Consultores!$C$6:$C$65,MATCH($A263,Consultores!$A$6:$A$65,0)),IF(_xlpm.horas=0,"",IFERROR(_xlpm.horas/_xlpm.capacidad,"")))</f>
        <v/>
      </c>
    </row>
    <row r="264">
      <c r="A264" s="25" t="n"/>
      <c r="B264" s="25" t="n"/>
      <c r="C264" s="25" t="n"/>
      <c r="D264" s="30" t="n"/>
      <c r="E264" s="30" t="n"/>
      <c r="F264" s="26" t="n"/>
      <c r="G264" s="25" t="n"/>
      <c r="H264" s="31">
        <f>IF($A264="","",IFERROR(INDEX(Consultores!$B$6:$B$65,MATCH($A264,Consultores!$A$6:$A$65,0)),"No existe"))</f>
        <v/>
      </c>
      <c r="I264" s="32">
        <f>IF($F264="",0,$F264/5)</f>
        <v/>
      </c>
      <c r="J264" s="33">
        <f>_xlfn.LET(_xlpm.inicio,MAX($D264,J$3),_xlpm.fin,MIN($E264,J$4),_xlpm.feriados,IF($H264="CO",FER_CO,FER_EC),_xlpm.dias,IF(_xlpm.inicio&gt;_xlpm.fin,0,NETWORKDAYS(_xlpm.inicio,_xlpm.fin,_xlpm.feriados)),_xlpm.factor,IF($G264="Probable",IF(Parametros!$B$6="Sí",1,0),1),IF(OR($A264="",$D264="",$E264=""),0,_xlpm.dias*$I264*_xlpm.factor))</f>
        <v/>
      </c>
      <c r="K264" s="33">
        <f>_xlfn.LET(_xlpm.inicio,MAX($D264,K$3),_xlpm.fin,MIN($E264,K$4),_xlpm.feriados,IF($H264="CO",FER_CO,FER_EC),_xlpm.dias,IF(_xlpm.inicio&gt;_xlpm.fin,0,NETWORKDAYS(_xlpm.inicio,_xlpm.fin,_xlpm.feriados)),_xlpm.factor,IF($G264="Probable",IF(Parametros!$B$6="Sí",1,0),1),IF(OR($A264="",$D264="",$E264=""),0,_xlpm.dias*$I264*_xlpm.factor))</f>
        <v/>
      </c>
      <c r="L264" s="33">
        <f>_xlfn.LET(_xlpm.inicio,MAX($D264,L$3),_xlpm.fin,MIN($E264,L$4),_xlpm.feriados,IF($H264="CO",FER_CO,FER_EC),_xlpm.dias,IF(_xlpm.inicio&gt;_xlpm.fin,0,NETWORKDAYS(_xlpm.inicio,_xlpm.fin,_xlpm.feriados)),_xlpm.factor,IF($G264="Probable",IF(Parametros!$B$6="Sí",1,0),1),IF(OR($A264="",$D264="",$E264=""),0,_xlpm.dias*$I264*_xlpm.factor))</f>
        <v/>
      </c>
      <c r="M264" s="33">
        <f>_xlfn.LET(_xlpm.inicio,MAX($D264,M$3),_xlpm.fin,MIN($E264,M$4),_xlpm.feriados,IF($H264="CO",FER_CO,FER_EC),_xlpm.dias,IF(_xlpm.inicio&gt;_xlpm.fin,0,NETWORKDAYS(_xlpm.inicio,_xlpm.fin,_xlpm.feriados)),_xlpm.factor,IF($G264="Probable",IF(Parametros!$B$6="Sí",1,0),1),IF(OR($A264="",$D264="",$E264=""),0,_xlpm.dias*$I264*_xlpm.factor))</f>
        <v/>
      </c>
      <c r="N264" s="33">
        <f>_xlfn.LET(_xlpm.inicio,MAX($D264,N$3),_xlpm.fin,MIN($E264,N$4),_xlpm.feriados,IF($H264="CO",FER_CO,FER_EC),_xlpm.dias,IF(_xlpm.inicio&gt;_xlpm.fin,0,NETWORKDAYS(_xlpm.inicio,_xlpm.fin,_xlpm.feriados)),_xlpm.factor,IF($G264="Probable",IF(Parametros!$B$6="Sí",1,0),1),IF(OR($A264="",$D264="",$E264=""),0,_xlpm.dias*$I264*_xlpm.factor))</f>
        <v/>
      </c>
      <c r="O264" s="33">
        <f>_xlfn.LET(_xlpm.inicio,MAX($D264,O$3),_xlpm.fin,MIN($E264,O$4),_xlpm.feriados,IF($H264="CO",FER_CO,FER_EC),_xlpm.dias,IF(_xlpm.inicio&gt;_xlpm.fin,0,NETWORKDAYS(_xlpm.inicio,_xlpm.fin,_xlpm.feriados)),_xlpm.factor,IF($G264="Probable",IF(Parametros!$B$6="Sí",1,0),1),IF(OR($A264="",$D264="",$E264=""),0,_xlpm.dias*$I264*_xlpm.factor))</f>
        <v/>
      </c>
      <c r="P264" s="34">
        <f>_xlfn.LET(_xlpm.horas,J264,_xlpm.feriados,IF($H264="CO",FER_CO,FER_EC),_xlpm.capacidad,NETWORKDAYS(J$3,J$4,_xlpm.feriados)*INDEX(Consultores!$C$6:$C$65,MATCH($A264,Consultores!$A$6:$A$65,0)),IF(_xlpm.horas=0,"",IFERROR(_xlpm.horas/_xlpm.capacidad,"")))</f>
        <v/>
      </c>
      <c r="Q264" s="34">
        <f>_xlfn.LET(_xlpm.horas,K264,_xlpm.feriados,IF($H264="CO",FER_CO,FER_EC),_xlpm.capacidad,NETWORKDAYS(K$3,K$4,_xlpm.feriados)*INDEX(Consultores!$C$6:$C$65,MATCH($A264,Consultores!$A$6:$A$65,0)),IF(_xlpm.horas=0,"",IFERROR(_xlpm.horas/_xlpm.capacidad,"")))</f>
        <v/>
      </c>
      <c r="R264" s="34">
        <f>_xlfn.LET(_xlpm.horas,L264,_xlpm.feriados,IF($H264="CO",FER_CO,FER_EC),_xlpm.capacidad,NETWORKDAYS(L$3,L$4,_xlpm.feriados)*INDEX(Consultores!$C$6:$C$65,MATCH($A264,Consultores!$A$6:$A$65,0)),IF(_xlpm.horas=0,"",IFERROR(_xlpm.horas/_xlpm.capacidad,"")))</f>
        <v/>
      </c>
      <c r="S264" s="34">
        <f>_xlfn.LET(_xlpm.horas,M264,_xlpm.feriados,IF($H264="CO",FER_CO,FER_EC),_xlpm.capacidad,NETWORKDAYS(M$3,M$4,_xlpm.feriados)*INDEX(Consultores!$C$6:$C$65,MATCH($A264,Consultores!$A$6:$A$65,0)),IF(_xlpm.horas=0,"",IFERROR(_xlpm.horas/_xlpm.capacidad,"")))</f>
        <v/>
      </c>
      <c r="T264" s="34">
        <f>_xlfn.LET(_xlpm.horas,N264,_xlpm.feriados,IF($H264="CO",FER_CO,FER_EC),_xlpm.capacidad,NETWORKDAYS(N$3,N$4,_xlpm.feriados)*INDEX(Consultores!$C$6:$C$65,MATCH($A264,Consultores!$A$6:$A$65,0)),IF(_xlpm.horas=0,"",IFERROR(_xlpm.horas/_xlpm.capacidad,"")))</f>
        <v/>
      </c>
      <c r="U264" s="34">
        <f>_xlfn.LET(_xlpm.horas,O264,_xlpm.feriados,IF($H264="CO",FER_CO,FER_EC),_xlpm.capacidad,NETWORKDAYS(O$3,O$4,_xlpm.feriados)*INDEX(Consultores!$C$6:$C$65,MATCH($A264,Consultores!$A$6:$A$65,0)),IF(_xlpm.horas=0,"",IFERROR(_xlpm.horas/_xlpm.capacidad,"")))</f>
        <v/>
      </c>
    </row>
    <row r="265">
      <c r="A265" s="25" t="n"/>
      <c r="B265" s="25" t="n"/>
      <c r="C265" s="25" t="n"/>
      <c r="D265" s="30" t="n"/>
      <c r="E265" s="30" t="n"/>
      <c r="F265" s="26" t="n"/>
      <c r="G265" s="25" t="n"/>
      <c r="H265" s="31">
        <f>IF($A265="","",IFERROR(INDEX(Consultores!$B$6:$B$65,MATCH($A265,Consultores!$A$6:$A$65,0)),"No existe"))</f>
        <v/>
      </c>
      <c r="I265" s="32">
        <f>IF($F265="",0,$F265/5)</f>
        <v/>
      </c>
      <c r="J265" s="33">
        <f>_xlfn.LET(_xlpm.inicio,MAX($D265,J$3),_xlpm.fin,MIN($E265,J$4),_xlpm.feriados,IF($H265="CO",FER_CO,FER_EC),_xlpm.dias,IF(_xlpm.inicio&gt;_xlpm.fin,0,NETWORKDAYS(_xlpm.inicio,_xlpm.fin,_xlpm.feriados)),_xlpm.factor,IF($G265="Probable",IF(Parametros!$B$6="Sí",1,0),1),IF(OR($A265="",$D265="",$E265=""),0,_xlpm.dias*$I265*_xlpm.factor))</f>
        <v/>
      </c>
      <c r="K265" s="33">
        <f>_xlfn.LET(_xlpm.inicio,MAX($D265,K$3),_xlpm.fin,MIN($E265,K$4),_xlpm.feriados,IF($H265="CO",FER_CO,FER_EC),_xlpm.dias,IF(_xlpm.inicio&gt;_xlpm.fin,0,NETWORKDAYS(_xlpm.inicio,_xlpm.fin,_xlpm.feriados)),_xlpm.factor,IF($G265="Probable",IF(Parametros!$B$6="Sí",1,0),1),IF(OR($A265="",$D265="",$E265=""),0,_xlpm.dias*$I265*_xlpm.factor))</f>
        <v/>
      </c>
      <c r="L265" s="33">
        <f>_xlfn.LET(_xlpm.inicio,MAX($D265,L$3),_xlpm.fin,MIN($E265,L$4),_xlpm.feriados,IF($H265="CO",FER_CO,FER_EC),_xlpm.dias,IF(_xlpm.inicio&gt;_xlpm.fin,0,NETWORKDAYS(_xlpm.inicio,_xlpm.fin,_xlpm.feriados)),_xlpm.factor,IF($G265="Probable",IF(Parametros!$B$6="Sí",1,0),1),IF(OR($A265="",$D265="",$E265=""),0,_xlpm.dias*$I265*_xlpm.factor))</f>
        <v/>
      </c>
      <c r="M265" s="33">
        <f>_xlfn.LET(_xlpm.inicio,MAX($D265,M$3),_xlpm.fin,MIN($E265,M$4),_xlpm.feriados,IF($H265="CO",FER_CO,FER_EC),_xlpm.dias,IF(_xlpm.inicio&gt;_xlpm.fin,0,NETWORKDAYS(_xlpm.inicio,_xlpm.fin,_xlpm.feriados)),_xlpm.factor,IF($G265="Probable",IF(Parametros!$B$6="Sí",1,0),1),IF(OR($A265="",$D265="",$E265=""),0,_xlpm.dias*$I265*_xlpm.factor))</f>
        <v/>
      </c>
      <c r="N265" s="33">
        <f>_xlfn.LET(_xlpm.inicio,MAX($D265,N$3),_xlpm.fin,MIN($E265,N$4),_xlpm.feriados,IF($H265="CO",FER_CO,FER_EC),_xlpm.dias,IF(_xlpm.inicio&gt;_xlpm.fin,0,NETWORKDAYS(_xlpm.inicio,_xlpm.fin,_xlpm.feriados)),_xlpm.factor,IF($G265="Probable",IF(Parametros!$B$6="Sí",1,0),1),IF(OR($A265="",$D265="",$E265=""),0,_xlpm.dias*$I265*_xlpm.factor))</f>
        <v/>
      </c>
      <c r="O265" s="33">
        <f>_xlfn.LET(_xlpm.inicio,MAX($D265,O$3),_xlpm.fin,MIN($E265,O$4),_xlpm.feriados,IF($H265="CO",FER_CO,FER_EC),_xlpm.dias,IF(_xlpm.inicio&gt;_xlpm.fin,0,NETWORKDAYS(_xlpm.inicio,_xlpm.fin,_xlpm.feriados)),_xlpm.factor,IF($G265="Probable",IF(Parametros!$B$6="Sí",1,0),1),IF(OR($A265="",$D265="",$E265=""),0,_xlpm.dias*$I265*_xlpm.factor))</f>
        <v/>
      </c>
      <c r="P265" s="34">
        <f>_xlfn.LET(_xlpm.horas,J265,_xlpm.feriados,IF($H265="CO",FER_CO,FER_EC),_xlpm.capacidad,NETWORKDAYS(J$3,J$4,_xlpm.feriados)*INDEX(Consultores!$C$6:$C$65,MATCH($A265,Consultores!$A$6:$A$65,0)),IF(_xlpm.horas=0,"",IFERROR(_xlpm.horas/_xlpm.capacidad,"")))</f>
        <v/>
      </c>
      <c r="Q265" s="34">
        <f>_xlfn.LET(_xlpm.horas,K265,_xlpm.feriados,IF($H265="CO",FER_CO,FER_EC),_xlpm.capacidad,NETWORKDAYS(K$3,K$4,_xlpm.feriados)*INDEX(Consultores!$C$6:$C$65,MATCH($A265,Consultores!$A$6:$A$65,0)),IF(_xlpm.horas=0,"",IFERROR(_xlpm.horas/_xlpm.capacidad,"")))</f>
        <v/>
      </c>
      <c r="R265" s="34">
        <f>_xlfn.LET(_xlpm.horas,L265,_xlpm.feriados,IF($H265="CO",FER_CO,FER_EC),_xlpm.capacidad,NETWORKDAYS(L$3,L$4,_xlpm.feriados)*INDEX(Consultores!$C$6:$C$65,MATCH($A265,Consultores!$A$6:$A$65,0)),IF(_xlpm.horas=0,"",IFERROR(_xlpm.horas/_xlpm.capacidad,"")))</f>
        <v/>
      </c>
      <c r="S265" s="34">
        <f>_xlfn.LET(_xlpm.horas,M265,_xlpm.feriados,IF($H265="CO",FER_CO,FER_EC),_xlpm.capacidad,NETWORKDAYS(M$3,M$4,_xlpm.feriados)*INDEX(Consultores!$C$6:$C$65,MATCH($A265,Consultores!$A$6:$A$65,0)),IF(_xlpm.horas=0,"",IFERROR(_xlpm.horas/_xlpm.capacidad,"")))</f>
        <v/>
      </c>
      <c r="T265" s="34">
        <f>_xlfn.LET(_xlpm.horas,N265,_xlpm.feriados,IF($H265="CO",FER_CO,FER_EC),_xlpm.capacidad,NETWORKDAYS(N$3,N$4,_xlpm.feriados)*INDEX(Consultores!$C$6:$C$65,MATCH($A265,Consultores!$A$6:$A$65,0)),IF(_xlpm.horas=0,"",IFERROR(_xlpm.horas/_xlpm.capacidad,"")))</f>
        <v/>
      </c>
      <c r="U265" s="34">
        <f>_xlfn.LET(_xlpm.horas,O265,_xlpm.feriados,IF($H265="CO",FER_CO,FER_EC),_xlpm.capacidad,NETWORKDAYS(O$3,O$4,_xlpm.feriados)*INDEX(Consultores!$C$6:$C$65,MATCH($A265,Consultores!$A$6:$A$65,0)),IF(_xlpm.horas=0,"",IFERROR(_xlpm.horas/_xlpm.capacidad,"")))</f>
        <v/>
      </c>
    </row>
    <row r="266">
      <c r="A266" s="25" t="n"/>
      <c r="B266" s="25" t="n"/>
      <c r="C266" s="25" t="n"/>
      <c r="D266" s="30" t="n"/>
      <c r="E266" s="30" t="n"/>
      <c r="F266" s="26" t="n"/>
      <c r="G266" s="25" t="n"/>
      <c r="H266" s="31">
        <f>IF($A266="","",IFERROR(INDEX(Consultores!$B$6:$B$65,MATCH($A266,Consultores!$A$6:$A$65,0)),"No existe"))</f>
        <v/>
      </c>
      <c r="I266" s="32">
        <f>IF($F266="",0,$F266/5)</f>
        <v/>
      </c>
      <c r="J266" s="33">
        <f>_xlfn.LET(_xlpm.inicio,MAX($D266,J$3),_xlpm.fin,MIN($E266,J$4),_xlpm.feriados,IF($H266="CO",FER_CO,FER_EC),_xlpm.dias,IF(_xlpm.inicio&gt;_xlpm.fin,0,NETWORKDAYS(_xlpm.inicio,_xlpm.fin,_xlpm.feriados)),_xlpm.factor,IF($G266="Probable",IF(Parametros!$B$6="Sí",1,0),1),IF(OR($A266="",$D266="",$E266=""),0,_xlpm.dias*$I266*_xlpm.factor))</f>
        <v/>
      </c>
      <c r="K266" s="33">
        <f>_xlfn.LET(_xlpm.inicio,MAX($D266,K$3),_xlpm.fin,MIN($E266,K$4),_xlpm.feriados,IF($H266="CO",FER_CO,FER_EC),_xlpm.dias,IF(_xlpm.inicio&gt;_xlpm.fin,0,NETWORKDAYS(_xlpm.inicio,_xlpm.fin,_xlpm.feriados)),_xlpm.factor,IF($G266="Probable",IF(Parametros!$B$6="Sí",1,0),1),IF(OR($A266="",$D266="",$E266=""),0,_xlpm.dias*$I266*_xlpm.factor))</f>
        <v/>
      </c>
      <c r="L266" s="33">
        <f>_xlfn.LET(_xlpm.inicio,MAX($D266,L$3),_xlpm.fin,MIN($E266,L$4),_xlpm.feriados,IF($H266="CO",FER_CO,FER_EC),_xlpm.dias,IF(_xlpm.inicio&gt;_xlpm.fin,0,NETWORKDAYS(_xlpm.inicio,_xlpm.fin,_xlpm.feriados)),_xlpm.factor,IF($G266="Probable",IF(Parametros!$B$6="Sí",1,0),1),IF(OR($A266="",$D266="",$E266=""),0,_xlpm.dias*$I266*_xlpm.factor))</f>
        <v/>
      </c>
      <c r="M266" s="33">
        <f>_xlfn.LET(_xlpm.inicio,MAX($D266,M$3),_xlpm.fin,MIN($E266,M$4),_xlpm.feriados,IF($H266="CO",FER_CO,FER_EC),_xlpm.dias,IF(_xlpm.inicio&gt;_xlpm.fin,0,NETWORKDAYS(_xlpm.inicio,_xlpm.fin,_xlpm.feriados)),_xlpm.factor,IF($G266="Probable",IF(Parametros!$B$6="Sí",1,0),1),IF(OR($A266="",$D266="",$E266=""),0,_xlpm.dias*$I266*_xlpm.factor))</f>
        <v/>
      </c>
      <c r="N266" s="33">
        <f>_xlfn.LET(_xlpm.inicio,MAX($D266,N$3),_xlpm.fin,MIN($E266,N$4),_xlpm.feriados,IF($H266="CO",FER_CO,FER_EC),_xlpm.dias,IF(_xlpm.inicio&gt;_xlpm.fin,0,NETWORKDAYS(_xlpm.inicio,_xlpm.fin,_xlpm.feriados)),_xlpm.factor,IF($G266="Probable",IF(Parametros!$B$6="Sí",1,0),1),IF(OR($A266="",$D266="",$E266=""),0,_xlpm.dias*$I266*_xlpm.factor))</f>
        <v/>
      </c>
      <c r="O266" s="33">
        <f>_xlfn.LET(_xlpm.inicio,MAX($D266,O$3),_xlpm.fin,MIN($E266,O$4),_xlpm.feriados,IF($H266="CO",FER_CO,FER_EC),_xlpm.dias,IF(_xlpm.inicio&gt;_xlpm.fin,0,NETWORKDAYS(_xlpm.inicio,_xlpm.fin,_xlpm.feriados)),_xlpm.factor,IF($G266="Probable",IF(Parametros!$B$6="Sí",1,0),1),IF(OR($A266="",$D266="",$E266=""),0,_xlpm.dias*$I266*_xlpm.factor))</f>
        <v/>
      </c>
      <c r="P266" s="34">
        <f>_xlfn.LET(_xlpm.horas,J266,_xlpm.feriados,IF($H266="CO",FER_CO,FER_EC),_xlpm.capacidad,NETWORKDAYS(J$3,J$4,_xlpm.feriados)*INDEX(Consultores!$C$6:$C$65,MATCH($A266,Consultores!$A$6:$A$65,0)),IF(_xlpm.horas=0,"",IFERROR(_xlpm.horas/_xlpm.capacidad,"")))</f>
        <v/>
      </c>
      <c r="Q266" s="34">
        <f>_xlfn.LET(_xlpm.horas,K266,_xlpm.feriados,IF($H266="CO",FER_CO,FER_EC),_xlpm.capacidad,NETWORKDAYS(K$3,K$4,_xlpm.feriados)*INDEX(Consultores!$C$6:$C$65,MATCH($A266,Consultores!$A$6:$A$65,0)),IF(_xlpm.horas=0,"",IFERROR(_xlpm.horas/_xlpm.capacidad,"")))</f>
        <v/>
      </c>
      <c r="R266" s="34">
        <f>_xlfn.LET(_xlpm.horas,L266,_xlpm.feriados,IF($H266="CO",FER_CO,FER_EC),_xlpm.capacidad,NETWORKDAYS(L$3,L$4,_xlpm.feriados)*INDEX(Consultores!$C$6:$C$65,MATCH($A266,Consultores!$A$6:$A$65,0)),IF(_xlpm.horas=0,"",IFERROR(_xlpm.horas/_xlpm.capacidad,"")))</f>
        <v/>
      </c>
      <c r="S266" s="34">
        <f>_xlfn.LET(_xlpm.horas,M266,_xlpm.feriados,IF($H266="CO",FER_CO,FER_EC),_xlpm.capacidad,NETWORKDAYS(M$3,M$4,_xlpm.feriados)*INDEX(Consultores!$C$6:$C$65,MATCH($A266,Consultores!$A$6:$A$65,0)),IF(_xlpm.horas=0,"",IFERROR(_xlpm.horas/_xlpm.capacidad,"")))</f>
        <v/>
      </c>
      <c r="T266" s="34">
        <f>_xlfn.LET(_xlpm.horas,N266,_xlpm.feriados,IF($H266="CO",FER_CO,FER_EC),_xlpm.capacidad,NETWORKDAYS(N$3,N$4,_xlpm.feriados)*INDEX(Consultores!$C$6:$C$65,MATCH($A266,Consultores!$A$6:$A$65,0)),IF(_xlpm.horas=0,"",IFERROR(_xlpm.horas/_xlpm.capacidad,"")))</f>
        <v/>
      </c>
      <c r="U266" s="34">
        <f>_xlfn.LET(_xlpm.horas,O266,_xlpm.feriados,IF($H266="CO",FER_CO,FER_EC),_xlpm.capacidad,NETWORKDAYS(O$3,O$4,_xlpm.feriados)*INDEX(Consultores!$C$6:$C$65,MATCH($A266,Consultores!$A$6:$A$65,0)),IF(_xlpm.horas=0,"",IFERROR(_xlpm.horas/_xlpm.capacidad,"")))</f>
        <v/>
      </c>
    </row>
    <row r="267">
      <c r="A267" s="25" t="n"/>
      <c r="B267" s="25" t="n"/>
      <c r="C267" s="25" t="n"/>
      <c r="D267" s="30" t="n"/>
      <c r="E267" s="30" t="n"/>
      <c r="F267" s="26" t="n"/>
      <c r="G267" s="25" t="n"/>
      <c r="H267" s="31">
        <f>IF($A267="","",IFERROR(INDEX(Consultores!$B$6:$B$65,MATCH($A267,Consultores!$A$6:$A$65,0)),"No existe"))</f>
        <v/>
      </c>
      <c r="I267" s="32">
        <f>IF($F267="",0,$F267/5)</f>
        <v/>
      </c>
      <c r="J267" s="33">
        <f>_xlfn.LET(_xlpm.inicio,MAX($D267,J$3),_xlpm.fin,MIN($E267,J$4),_xlpm.feriados,IF($H267="CO",FER_CO,FER_EC),_xlpm.dias,IF(_xlpm.inicio&gt;_xlpm.fin,0,NETWORKDAYS(_xlpm.inicio,_xlpm.fin,_xlpm.feriados)),_xlpm.factor,IF($G267="Probable",IF(Parametros!$B$6="Sí",1,0),1),IF(OR($A267="",$D267="",$E267=""),0,_xlpm.dias*$I267*_xlpm.factor))</f>
        <v/>
      </c>
      <c r="K267" s="33">
        <f>_xlfn.LET(_xlpm.inicio,MAX($D267,K$3),_xlpm.fin,MIN($E267,K$4),_xlpm.feriados,IF($H267="CO",FER_CO,FER_EC),_xlpm.dias,IF(_xlpm.inicio&gt;_xlpm.fin,0,NETWORKDAYS(_xlpm.inicio,_xlpm.fin,_xlpm.feriados)),_xlpm.factor,IF($G267="Probable",IF(Parametros!$B$6="Sí",1,0),1),IF(OR($A267="",$D267="",$E267=""),0,_xlpm.dias*$I267*_xlpm.factor))</f>
        <v/>
      </c>
      <c r="L267" s="33">
        <f>_xlfn.LET(_xlpm.inicio,MAX($D267,L$3),_xlpm.fin,MIN($E267,L$4),_xlpm.feriados,IF($H267="CO",FER_CO,FER_EC),_xlpm.dias,IF(_xlpm.inicio&gt;_xlpm.fin,0,NETWORKDAYS(_xlpm.inicio,_xlpm.fin,_xlpm.feriados)),_xlpm.factor,IF($G267="Probable",IF(Parametros!$B$6="Sí",1,0),1),IF(OR($A267="",$D267="",$E267=""),0,_xlpm.dias*$I267*_xlpm.factor))</f>
        <v/>
      </c>
      <c r="M267" s="33">
        <f>_xlfn.LET(_xlpm.inicio,MAX($D267,M$3),_xlpm.fin,MIN($E267,M$4),_xlpm.feriados,IF($H267="CO",FER_CO,FER_EC),_xlpm.dias,IF(_xlpm.inicio&gt;_xlpm.fin,0,NETWORKDAYS(_xlpm.inicio,_xlpm.fin,_xlpm.feriados)),_xlpm.factor,IF($G267="Probable",IF(Parametros!$B$6="Sí",1,0),1),IF(OR($A267="",$D267="",$E267=""),0,_xlpm.dias*$I267*_xlpm.factor))</f>
        <v/>
      </c>
      <c r="N267" s="33">
        <f>_xlfn.LET(_xlpm.inicio,MAX($D267,N$3),_xlpm.fin,MIN($E267,N$4),_xlpm.feriados,IF($H267="CO",FER_CO,FER_EC),_xlpm.dias,IF(_xlpm.inicio&gt;_xlpm.fin,0,NETWORKDAYS(_xlpm.inicio,_xlpm.fin,_xlpm.feriados)),_xlpm.factor,IF($G267="Probable",IF(Parametros!$B$6="Sí",1,0),1),IF(OR($A267="",$D267="",$E267=""),0,_xlpm.dias*$I267*_xlpm.factor))</f>
        <v/>
      </c>
      <c r="O267" s="33">
        <f>_xlfn.LET(_xlpm.inicio,MAX($D267,O$3),_xlpm.fin,MIN($E267,O$4),_xlpm.feriados,IF($H267="CO",FER_CO,FER_EC),_xlpm.dias,IF(_xlpm.inicio&gt;_xlpm.fin,0,NETWORKDAYS(_xlpm.inicio,_xlpm.fin,_xlpm.feriados)),_xlpm.factor,IF($G267="Probable",IF(Parametros!$B$6="Sí",1,0),1),IF(OR($A267="",$D267="",$E267=""),0,_xlpm.dias*$I267*_xlpm.factor))</f>
        <v/>
      </c>
      <c r="P267" s="34">
        <f>_xlfn.LET(_xlpm.horas,J267,_xlpm.feriados,IF($H267="CO",FER_CO,FER_EC),_xlpm.capacidad,NETWORKDAYS(J$3,J$4,_xlpm.feriados)*INDEX(Consultores!$C$6:$C$65,MATCH($A267,Consultores!$A$6:$A$65,0)),IF(_xlpm.horas=0,"",IFERROR(_xlpm.horas/_xlpm.capacidad,"")))</f>
        <v/>
      </c>
      <c r="Q267" s="34">
        <f>_xlfn.LET(_xlpm.horas,K267,_xlpm.feriados,IF($H267="CO",FER_CO,FER_EC),_xlpm.capacidad,NETWORKDAYS(K$3,K$4,_xlpm.feriados)*INDEX(Consultores!$C$6:$C$65,MATCH($A267,Consultores!$A$6:$A$65,0)),IF(_xlpm.horas=0,"",IFERROR(_xlpm.horas/_xlpm.capacidad,"")))</f>
        <v/>
      </c>
      <c r="R267" s="34">
        <f>_xlfn.LET(_xlpm.horas,L267,_xlpm.feriados,IF($H267="CO",FER_CO,FER_EC),_xlpm.capacidad,NETWORKDAYS(L$3,L$4,_xlpm.feriados)*INDEX(Consultores!$C$6:$C$65,MATCH($A267,Consultores!$A$6:$A$65,0)),IF(_xlpm.horas=0,"",IFERROR(_xlpm.horas/_xlpm.capacidad,"")))</f>
        <v/>
      </c>
      <c r="S267" s="34">
        <f>_xlfn.LET(_xlpm.horas,M267,_xlpm.feriados,IF($H267="CO",FER_CO,FER_EC),_xlpm.capacidad,NETWORKDAYS(M$3,M$4,_xlpm.feriados)*INDEX(Consultores!$C$6:$C$65,MATCH($A267,Consultores!$A$6:$A$65,0)),IF(_xlpm.horas=0,"",IFERROR(_xlpm.horas/_xlpm.capacidad,"")))</f>
        <v/>
      </c>
      <c r="T267" s="34">
        <f>_xlfn.LET(_xlpm.horas,N267,_xlpm.feriados,IF($H267="CO",FER_CO,FER_EC),_xlpm.capacidad,NETWORKDAYS(N$3,N$4,_xlpm.feriados)*INDEX(Consultores!$C$6:$C$65,MATCH($A267,Consultores!$A$6:$A$65,0)),IF(_xlpm.horas=0,"",IFERROR(_xlpm.horas/_xlpm.capacidad,"")))</f>
        <v/>
      </c>
      <c r="U267" s="34">
        <f>_xlfn.LET(_xlpm.horas,O267,_xlpm.feriados,IF($H267="CO",FER_CO,FER_EC),_xlpm.capacidad,NETWORKDAYS(O$3,O$4,_xlpm.feriados)*INDEX(Consultores!$C$6:$C$65,MATCH($A267,Consultores!$A$6:$A$65,0)),IF(_xlpm.horas=0,"",IFERROR(_xlpm.horas/_xlpm.capacidad,"")))</f>
        <v/>
      </c>
    </row>
    <row r="268">
      <c r="A268" s="25" t="n"/>
      <c r="B268" s="25" t="n"/>
      <c r="C268" s="25" t="n"/>
      <c r="D268" s="30" t="n"/>
      <c r="E268" s="30" t="n"/>
      <c r="F268" s="26" t="n"/>
      <c r="G268" s="25" t="n"/>
      <c r="H268" s="31">
        <f>IF($A268="","",IFERROR(INDEX(Consultores!$B$6:$B$65,MATCH($A268,Consultores!$A$6:$A$65,0)),"No existe"))</f>
        <v/>
      </c>
      <c r="I268" s="32">
        <f>IF($F268="",0,$F268/5)</f>
        <v/>
      </c>
      <c r="J268" s="33">
        <f>_xlfn.LET(_xlpm.inicio,MAX($D268,J$3),_xlpm.fin,MIN($E268,J$4),_xlpm.feriados,IF($H268="CO",FER_CO,FER_EC),_xlpm.dias,IF(_xlpm.inicio&gt;_xlpm.fin,0,NETWORKDAYS(_xlpm.inicio,_xlpm.fin,_xlpm.feriados)),_xlpm.factor,IF($G268="Probable",IF(Parametros!$B$6="Sí",1,0),1),IF(OR($A268="",$D268="",$E268=""),0,_xlpm.dias*$I268*_xlpm.factor))</f>
        <v/>
      </c>
      <c r="K268" s="33">
        <f>_xlfn.LET(_xlpm.inicio,MAX($D268,K$3),_xlpm.fin,MIN($E268,K$4),_xlpm.feriados,IF($H268="CO",FER_CO,FER_EC),_xlpm.dias,IF(_xlpm.inicio&gt;_xlpm.fin,0,NETWORKDAYS(_xlpm.inicio,_xlpm.fin,_xlpm.feriados)),_xlpm.factor,IF($G268="Probable",IF(Parametros!$B$6="Sí",1,0),1),IF(OR($A268="",$D268="",$E268=""),0,_xlpm.dias*$I268*_xlpm.factor))</f>
        <v/>
      </c>
      <c r="L268" s="33">
        <f>_xlfn.LET(_xlpm.inicio,MAX($D268,L$3),_xlpm.fin,MIN($E268,L$4),_xlpm.feriados,IF($H268="CO",FER_CO,FER_EC),_xlpm.dias,IF(_xlpm.inicio&gt;_xlpm.fin,0,NETWORKDAYS(_xlpm.inicio,_xlpm.fin,_xlpm.feriados)),_xlpm.factor,IF($G268="Probable",IF(Parametros!$B$6="Sí",1,0),1),IF(OR($A268="",$D268="",$E268=""),0,_xlpm.dias*$I268*_xlpm.factor))</f>
        <v/>
      </c>
      <c r="M268" s="33">
        <f>_xlfn.LET(_xlpm.inicio,MAX($D268,M$3),_xlpm.fin,MIN($E268,M$4),_xlpm.feriados,IF($H268="CO",FER_CO,FER_EC),_xlpm.dias,IF(_xlpm.inicio&gt;_xlpm.fin,0,NETWORKDAYS(_xlpm.inicio,_xlpm.fin,_xlpm.feriados)),_xlpm.factor,IF($G268="Probable",IF(Parametros!$B$6="Sí",1,0),1),IF(OR($A268="",$D268="",$E268=""),0,_xlpm.dias*$I268*_xlpm.factor))</f>
        <v/>
      </c>
      <c r="N268" s="33">
        <f>_xlfn.LET(_xlpm.inicio,MAX($D268,N$3),_xlpm.fin,MIN($E268,N$4),_xlpm.feriados,IF($H268="CO",FER_CO,FER_EC),_xlpm.dias,IF(_xlpm.inicio&gt;_xlpm.fin,0,NETWORKDAYS(_xlpm.inicio,_xlpm.fin,_xlpm.feriados)),_xlpm.factor,IF($G268="Probable",IF(Parametros!$B$6="Sí",1,0),1),IF(OR($A268="",$D268="",$E268=""),0,_xlpm.dias*$I268*_xlpm.factor))</f>
        <v/>
      </c>
      <c r="O268" s="33">
        <f>_xlfn.LET(_xlpm.inicio,MAX($D268,O$3),_xlpm.fin,MIN($E268,O$4),_xlpm.feriados,IF($H268="CO",FER_CO,FER_EC),_xlpm.dias,IF(_xlpm.inicio&gt;_xlpm.fin,0,NETWORKDAYS(_xlpm.inicio,_xlpm.fin,_xlpm.feriados)),_xlpm.factor,IF($G268="Probable",IF(Parametros!$B$6="Sí",1,0),1),IF(OR($A268="",$D268="",$E268=""),0,_xlpm.dias*$I268*_xlpm.factor))</f>
        <v/>
      </c>
      <c r="P268" s="34">
        <f>_xlfn.LET(_xlpm.horas,J268,_xlpm.feriados,IF($H268="CO",FER_CO,FER_EC),_xlpm.capacidad,NETWORKDAYS(J$3,J$4,_xlpm.feriados)*INDEX(Consultores!$C$6:$C$65,MATCH($A268,Consultores!$A$6:$A$65,0)),IF(_xlpm.horas=0,"",IFERROR(_xlpm.horas/_xlpm.capacidad,"")))</f>
        <v/>
      </c>
      <c r="Q268" s="34">
        <f>_xlfn.LET(_xlpm.horas,K268,_xlpm.feriados,IF($H268="CO",FER_CO,FER_EC),_xlpm.capacidad,NETWORKDAYS(K$3,K$4,_xlpm.feriados)*INDEX(Consultores!$C$6:$C$65,MATCH($A268,Consultores!$A$6:$A$65,0)),IF(_xlpm.horas=0,"",IFERROR(_xlpm.horas/_xlpm.capacidad,"")))</f>
        <v/>
      </c>
      <c r="R268" s="34">
        <f>_xlfn.LET(_xlpm.horas,L268,_xlpm.feriados,IF($H268="CO",FER_CO,FER_EC),_xlpm.capacidad,NETWORKDAYS(L$3,L$4,_xlpm.feriados)*INDEX(Consultores!$C$6:$C$65,MATCH($A268,Consultores!$A$6:$A$65,0)),IF(_xlpm.horas=0,"",IFERROR(_xlpm.horas/_xlpm.capacidad,"")))</f>
        <v/>
      </c>
      <c r="S268" s="34">
        <f>_xlfn.LET(_xlpm.horas,M268,_xlpm.feriados,IF($H268="CO",FER_CO,FER_EC),_xlpm.capacidad,NETWORKDAYS(M$3,M$4,_xlpm.feriados)*INDEX(Consultores!$C$6:$C$65,MATCH($A268,Consultores!$A$6:$A$65,0)),IF(_xlpm.horas=0,"",IFERROR(_xlpm.horas/_xlpm.capacidad,"")))</f>
        <v/>
      </c>
      <c r="T268" s="34">
        <f>_xlfn.LET(_xlpm.horas,N268,_xlpm.feriados,IF($H268="CO",FER_CO,FER_EC),_xlpm.capacidad,NETWORKDAYS(N$3,N$4,_xlpm.feriados)*INDEX(Consultores!$C$6:$C$65,MATCH($A268,Consultores!$A$6:$A$65,0)),IF(_xlpm.horas=0,"",IFERROR(_xlpm.horas/_xlpm.capacidad,"")))</f>
        <v/>
      </c>
      <c r="U268" s="34">
        <f>_xlfn.LET(_xlpm.horas,O268,_xlpm.feriados,IF($H268="CO",FER_CO,FER_EC),_xlpm.capacidad,NETWORKDAYS(O$3,O$4,_xlpm.feriados)*INDEX(Consultores!$C$6:$C$65,MATCH($A268,Consultores!$A$6:$A$65,0)),IF(_xlpm.horas=0,"",IFERROR(_xlpm.horas/_xlpm.capacidad,"")))</f>
        <v/>
      </c>
    </row>
    <row r="269">
      <c r="A269" s="25" t="n"/>
      <c r="B269" s="25" t="n"/>
      <c r="C269" s="25" t="n"/>
      <c r="D269" s="30" t="n"/>
      <c r="E269" s="30" t="n"/>
      <c r="F269" s="26" t="n"/>
      <c r="G269" s="25" t="n"/>
      <c r="H269" s="31">
        <f>IF($A269="","",IFERROR(INDEX(Consultores!$B$6:$B$65,MATCH($A269,Consultores!$A$6:$A$65,0)),"No existe"))</f>
        <v/>
      </c>
      <c r="I269" s="32">
        <f>IF($F269="",0,$F269/5)</f>
        <v/>
      </c>
      <c r="J269" s="33">
        <f>_xlfn.LET(_xlpm.inicio,MAX($D269,J$3),_xlpm.fin,MIN($E269,J$4),_xlpm.feriados,IF($H269="CO",FER_CO,FER_EC),_xlpm.dias,IF(_xlpm.inicio&gt;_xlpm.fin,0,NETWORKDAYS(_xlpm.inicio,_xlpm.fin,_xlpm.feriados)),_xlpm.factor,IF($G269="Probable",IF(Parametros!$B$6="Sí",1,0),1),IF(OR($A269="",$D269="",$E269=""),0,_xlpm.dias*$I269*_xlpm.factor))</f>
        <v/>
      </c>
      <c r="K269" s="33">
        <f>_xlfn.LET(_xlpm.inicio,MAX($D269,K$3),_xlpm.fin,MIN($E269,K$4),_xlpm.feriados,IF($H269="CO",FER_CO,FER_EC),_xlpm.dias,IF(_xlpm.inicio&gt;_xlpm.fin,0,NETWORKDAYS(_xlpm.inicio,_xlpm.fin,_xlpm.feriados)),_xlpm.factor,IF($G269="Probable",IF(Parametros!$B$6="Sí",1,0),1),IF(OR($A269="",$D269="",$E269=""),0,_xlpm.dias*$I269*_xlpm.factor))</f>
        <v/>
      </c>
      <c r="L269" s="33">
        <f>_xlfn.LET(_xlpm.inicio,MAX($D269,L$3),_xlpm.fin,MIN($E269,L$4),_xlpm.feriados,IF($H269="CO",FER_CO,FER_EC),_xlpm.dias,IF(_xlpm.inicio&gt;_xlpm.fin,0,NETWORKDAYS(_xlpm.inicio,_xlpm.fin,_xlpm.feriados)),_xlpm.factor,IF($G269="Probable",IF(Parametros!$B$6="Sí",1,0),1),IF(OR($A269="",$D269="",$E269=""),0,_xlpm.dias*$I269*_xlpm.factor))</f>
        <v/>
      </c>
      <c r="M269" s="33">
        <f>_xlfn.LET(_xlpm.inicio,MAX($D269,M$3),_xlpm.fin,MIN($E269,M$4),_xlpm.feriados,IF($H269="CO",FER_CO,FER_EC),_xlpm.dias,IF(_xlpm.inicio&gt;_xlpm.fin,0,NETWORKDAYS(_xlpm.inicio,_xlpm.fin,_xlpm.feriados)),_xlpm.factor,IF($G269="Probable",IF(Parametros!$B$6="Sí",1,0),1),IF(OR($A269="",$D269="",$E269=""),0,_xlpm.dias*$I269*_xlpm.factor))</f>
        <v/>
      </c>
      <c r="N269" s="33">
        <f>_xlfn.LET(_xlpm.inicio,MAX($D269,N$3),_xlpm.fin,MIN($E269,N$4),_xlpm.feriados,IF($H269="CO",FER_CO,FER_EC),_xlpm.dias,IF(_xlpm.inicio&gt;_xlpm.fin,0,NETWORKDAYS(_xlpm.inicio,_xlpm.fin,_xlpm.feriados)),_xlpm.factor,IF($G269="Probable",IF(Parametros!$B$6="Sí",1,0),1),IF(OR($A269="",$D269="",$E269=""),0,_xlpm.dias*$I269*_xlpm.factor))</f>
        <v/>
      </c>
      <c r="O269" s="33">
        <f>_xlfn.LET(_xlpm.inicio,MAX($D269,O$3),_xlpm.fin,MIN($E269,O$4),_xlpm.feriados,IF($H269="CO",FER_CO,FER_EC),_xlpm.dias,IF(_xlpm.inicio&gt;_xlpm.fin,0,NETWORKDAYS(_xlpm.inicio,_xlpm.fin,_xlpm.feriados)),_xlpm.factor,IF($G269="Probable",IF(Parametros!$B$6="Sí",1,0),1),IF(OR($A269="",$D269="",$E269=""),0,_xlpm.dias*$I269*_xlpm.factor))</f>
        <v/>
      </c>
      <c r="P269" s="34">
        <f>_xlfn.LET(_xlpm.horas,J269,_xlpm.feriados,IF($H269="CO",FER_CO,FER_EC),_xlpm.capacidad,NETWORKDAYS(J$3,J$4,_xlpm.feriados)*INDEX(Consultores!$C$6:$C$65,MATCH($A269,Consultores!$A$6:$A$65,0)),IF(_xlpm.horas=0,"",IFERROR(_xlpm.horas/_xlpm.capacidad,"")))</f>
        <v/>
      </c>
      <c r="Q269" s="34">
        <f>_xlfn.LET(_xlpm.horas,K269,_xlpm.feriados,IF($H269="CO",FER_CO,FER_EC),_xlpm.capacidad,NETWORKDAYS(K$3,K$4,_xlpm.feriados)*INDEX(Consultores!$C$6:$C$65,MATCH($A269,Consultores!$A$6:$A$65,0)),IF(_xlpm.horas=0,"",IFERROR(_xlpm.horas/_xlpm.capacidad,"")))</f>
        <v/>
      </c>
      <c r="R269" s="34">
        <f>_xlfn.LET(_xlpm.horas,L269,_xlpm.feriados,IF($H269="CO",FER_CO,FER_EC),_xlpm.capacidad,NETWORKDAYS(L$3,L$4,_xlpm.feriados)*INDEX(Consultores!$C$6:$C$65,MATCH($A269,Consultores!$A$6:$A$65,0)),IF(_xlpm.horas=0,"",IFERROR(_xlpm.horas/_xlpm.capacidad,"")))</f>
        <v/>
      </c>
      <c r="S269" s="34">
        <f>_xlfn.LET(_xlpm.horas,M269,_xlpm.feriados,IF($H269="CO",FER_CO,FER_EC),_xlpm.capacidad,NETWORKDAYS(M$3,M$4,_xlpm.feriados)*INDEX(Consultores!$C$6:$C$65,MATCH($A269,Consultores!$A$6:$A$65,0)),IF(_xlpm.horas=0,"",IFERROR(_xlpm.horas/_xlpm.capacidad,"")))</f>
        <v/>
      </c>
      <c r="T269" s="34">
        <f>_xlfn.LET(_xlpm.horas,N269,_xlpm.feriados,IF($H269="CO",FER_CO,FER_EC),_xlpm.capacidad,NETWORKDAYS(N$3,N$4,_xlpm.feriados)*INDEX(Consultores!$C$6:$C$65,MATCH($A269,Consultores!$A$6:$A$65,0)),IF(_xlpm.horas=0,"",IFERROR(_xlpm.horas/_xlpm.capacidad,"")))</f>
        <v/>
      </c>
      <c r="U269" s="34">
        <f>_xlfn.LET(_xlpm.horas,O269,_xlpm.feriados,IF($H269="CO",FER_CO,FER_EC),_xlpm.capacidad,NETWORKDAYS(O$3,O$4,_xlpm.feriados)*INDEX(Consultores!$C$6:$C$65,MATCH($A269,Consultores!$A$6:$A$65,0)),IF(_xlpm.horas=0,"",IFERROR(_xlpm.horas/_xlpm.capacidad,"")))</f>
        <v/>
      </c>
    </row>
    <row r="270">
      <c r="A270" s="25" t="n"/>
      <c r="B270" s="25" t="n"/>
      <c r="C270" s="25" t="n"/>
      <c r="D270" s="30" t="n"/>
      <c r="E270" s="30" t="n"/>
      <c r="F270" s="26" t="n"/>
      <c r="G270" s="25" t="n"/>
      <c r="H270" s="31">
        <f>IF($A270="","",IFERROR(INDEX(Consultores!$B$6:$B$65,MATCH($A270,Consultores!$A$6:$A$65,0)),"No existe"))</f>
        <v/>
      </c>
      <c r="I270" s="32">
        <f>IF($F270="",0,$F270/5)</f>
        <v/>
      </c>
      <c r="J270" s="33">
        <f>_xlfn.LET(_xlpm.inicio,MAX($D270,J$3),_xlpm.fin,MIN($E270,J$4),_xlpm.feriados,IF($H270="CO",FER_CO,FER_EC),_xlpm.dias,IF(_xlpm.inicio&gt;_xlpm.fin,0,NETWORKDAYS(_xlpm.inicio,_xlpm.fin,_xlpm.feriados)),_xlpm.factor,IF($G270="Probable",IF(Parametros!$B$6="Sí",1,0),1),IF(OR($A270="",$D270="",$E270=""),0,_xlpm.dias*$I270*_xlpm.factor))</f>
        <v/>
      </c>
      <c r="K270" s="33">
        <f>_xlfn.LET(_xlpm.inicio,MAX($D270,K$3),_xlpm.fin,MIN($E270,K$4),_xlpm.feriados,IF($H270="CO",FER_CO,FER_EC),_xlpm.dias,IF(_xlpm.inicio&gt;_xlpm.fin,0,NETWORKDAYS(_xlpm.inicio,_xlpm.fin,_xlpm.feriados)),_xlpm.factor,IF($G270="Probable",IF(Parametros!$B$6="Sí",1,0),1),IF(OR($A270="",$D270="",$E270=""),0,_xlpm.dias*$I270*_xlpm.factor))</f>
        <v/>
      </c>
      <c r="L270" s="33">
        <f>_xlfn.LET(_xlpm.inicio,MAX($D270,L$3),_xlpm.fin,MIN($E270,L$4),_xlpm.feriados,IF($H270="CO",FER_CO,FER_EC),_xlpm.dias,IF(_xlpm.inicio&gt;_xlpm.fin,0,NETWORKDAYS(_xlpm.inicio,_xlpm.fin,_xlpm.feriados)),_xlpm.factor,IF($G270="Probable",IF(Parametros!$B$6="Sí",1,0),1),IF(OR($A270="",$D270="",$E270=""),0,_xlpm.dias*$I270*_xlpm.factor))</f>
        <v/>
      </c>
      <c r="M270" s="33">
        <f>_xlfn.LET(_xlpm.inicio,MAX($D270,M$3),_xlpm.fin,MIN($E270,M$4),_xlpm.feriados,IF($H270="CO",FER_CO,FER_EC),_xlpm.dias,IF(_xlpm.inicio&gt;_xlpm.fin,0,NETWORKDAYS(_xlpm.inicio,_xlpm.fin,_xlpm.feriados)),_xlpm.factor,IF($G270="Probable",IF(Parametros!$B$6="Sí",1,0),1),IF(OR($A270="",$D270="",$E270=""),0,_xlpm.dias*$I270*_xlpm.factor))</f>
        <v/>
      </c>
      <c r="N270" s="33">
        <f>_xlfn.LET(_xlpm.inicio,MAX($D270,N$3),_xlpm.fin,MIN($E270,N$4),_xlpm.feriados,IF($H270="CO",FER_CO,FER_EC),_xlpm.dias,IF(_xlpm.inicio&gt;_xlpm.fin,0,NETWORKDAYS(_xlpm.inicio,_xlpm.fin,_xlpm.feriados)),_xlpm.factor,IF($G270="Probable",IF(Parametros!$B$6="Sí",1,0),1),IF(OR($A270="",$D270="",$E270=""),0,_xlpm.dias*$I270*_xlpm.factor))</f>
        <v/>
      </c>
      <c r="O270" s="33">
        <f>_xlfn.LET(_xlpm.inicio,MAX($D270,O$3),_xlpm.fin,MIN($E270,O$4),_xlpm.feriados,IF($H270="CO",FER_CO,FER_EC),_xlpm.dias,IF(_xlpm.inicio&gt;_xlpm.fin,0,NETWORKDAYS(_xlpm.inicio,_xlpm.fin,_xlpm.feriados)),_xlpm.factor,IF($G270="Probable",IF(Parametros!$B$6="Sí",1,0),1),IF(OR($A270="",$D270="",$E270=""),0,_xlpm.dias*$I270*_xlpm.factor))</f>
        <v/>
      </c>
      <c r="P270" s="34">
        <f>_xlfn.LET(_xlpm.horas,J270,_xlpm.feriados,IF($H270="CO",FER_CO,FER_EC),_xlpm.capacidad,NETWORKDAYS(J$3,J$4,_xlpm.feriados)*INDEX(Consultores!$C$6:$C$65,MATCH($A270,Consultores!$A$6:$A$65,0)),IF(_xlpm.horas=0,"",IFERROR(_xlpm.horas/_xlpm.capacidad,"")))</f>
        <v/>
      </c>
      <c r="Q270" s="34">
        <f>_xlfn.LET(_xlpm.horas,K270,_xlpm.feriados,IF($H270="CO",FER_CO,FER_EC),_xlpm.capacidad,NETWORKDAYS(K$3,K$4,_xlpm.feriados)*INDEX(Consultores!$C$6:$C$65,MATCH($A270,Consultores!$A$6:$A$65,0)),IF(_xlpm.horas=0,"",IFERROR(_xlpm.horas/_xlpm.capacidad,"")))</f>
        <v/>
      </c>
      <c r="R270" s="34">
        <f>_xlfn.LET(_xlpm.horas,L270,_xlpm.feriados,IF($H270="CO",FER_CO,FER_EC),_xlpm.capacidad,NETWORKDAYS(L$3,L$4,_xlpm.feriados)*INDEX(Consultores!$C$6:$C$65,MATCH($A270,Consultores!$A$6:$A$65,0)),IF(_xlpm.horas=0,"",IFERROR(_xlpm.horas/_xlpm.capacidad,"")))</f>
        <v/>
      </c>
      <c r="S270" s="34">
        <f>_xlfn.LET(_xlpm.horas,M270,_xlpm.feriados,IF($H270="CO",FER_CO,FER_EC),_xlpm.capacidad,NETWORKDAYS(M$3,M$4,_xlpm.feriados)*INDEX(Consultores!$C$6:$C$65,MATCH($A270,Consultores!$A$6:$A$65,0)),IF(_xlpm.horas=0,"",IFERROR(_xlpm.horas/_xlpm.capacidad,"")))</f>
        <v/>
      </c>
      <c r="T270" s="34">
        <f>_xlfn.LET(_xlpm.horas,N270,_xlpm.feriados,IF($H270="CO",FER_CO,FER_EC),_xlpm.capacidad,NETWORKDAYS(N$3,N$4,_xlpm.feriados)*INDEX(Consultores!$C$6:$C$65,MATCH($A270,Consultores!$A$6:$A$65,0)),IF(_xlpm.horas=0,"",IFERROR(_xlpm.horas/_xlpm.capacidad,"")))</f>
        <v/>
      </c>
      <c r="U270" s="34">
        <f>_xlfn.LET(_xlpm.horas,O270,_xlpm.feriados,IF($H270="CO",FER_CO,FER_EC),_xlpm.capacidad,NETWORKDAYS(O$3,O$4,_xlpm.feriados)*INDEX(Consultores!$C$6:$C$65,MATCH($A270,Consultores!$A$6:$A$65,0)),IF(_xlpm.horas=0,"",IFERROR(_xlpm.horas/_xlpm.capacidad,"")))</f>
        <v/>
      </c>
    </row>
    <row r="271">
      <c r="A271" s="25" t="n"/>
      <c r="B271" s="25" t="n"/>
      <c r="C271" s="25" t="n"/>
      <c r="D271" s="30" t="n"/>
      <c r="E271" s="30" t="n"/>
      <c r="F271" s="26" t="n"/>
      <c r="G271" s="25" t="n"/>
      <c r="H271" s="31">
        <f>IF($A271="","",IFERROR(INDEX(Consultores!$B$6:$B$65,MATCH($A271,Consultores!$A$6:$A$65,0)),"No existe"))</f>
        <v/>
      </c>
      <c r="I271" s="32">
        <f>IF($F271="",0,$F271/5)</f>
        <v/>
      </c>
      <c r="J271" s="33">
        <f>_xlfn.LET(_xlpm.inicio,MAX($D271,J$3),_xlpm.fin,MIN($E271,J$4),_xlpm.feriados,IF($H271="CO",FER_CO,FER_EC),_xlpm.dias,IF(_xlpm.inicio&gt;_xlpm.fin,0,NETWORKDAYS(_xlpm.inicio,_xlpm.fin,_xlpm.feriados)),_xlpm.factor,IF($G271="Probable",IF(Parametros!$B$6="Sí",1,0),1),IF(OR($A271="",$D271="",$E271=""),0,_xlpm.dias*$I271*_xlpm.factor))</f>
        <v/>
      </c>
      <c r="K271" s="33">
        <f>_xlfn.LET(_xlpm.inicio,MAX($D271,K$3),_xlpm.fin,MIN($E271,K$4),_xlpm.feriados,IF($H271="CO",FER_CO,FER_EC),_xlpm.dias,IF(_xlpm.inicio&gt;_xlpm.fin,0,NETWORKDAYS(_xlpm.inicio,_xlpm.fin,_xlpm.feriados)),_xlpm.factor,IF($G271="Probable",IF(Parametros!$B$6="Sí",1,0),1),IF(OR($A271="",$D271="",$E271=""),0,_xlpm.dias*$I271*_xlpm.factor))</f>
        <v/>
      </c>
      <c r="L271" s="33">
        <f>_xlfn.LET(_xlpm.inicio,MAX($D271,L$3),_xlpm.fin,MIN($E271,L$4),_xlpm.feriados,IF($H271="CO",FER_CO,FER_EC),_xlpm.dias,IF(_xlpm.inicio&gt;_xlpm.fin,0,NETWORKDAYS(_xlpm.inicio,_xlpm.fin,_xlpm.feriados)),_xlpm.factor,IF($G271="Probable",IF(Parametros!$B$6="Sí",1,0),1),IF(OR($A271="",$D271="",$E271=""),0,_xlpm.dias*$I271*_xlpm.factor))</f>
        <v/>
      </c>
      <c r="M271" s="33">
        <f>_xlfn.LET(_xlpm.inicio,MAX($D271,M$3),_xlpm.fin,MIN($E271,M$4),_xlpm.feriados,IF($H271="CO",FER_CO,FER_EC),_xlpm.dias,IF(_xlpm.inicio&gt;_xlpm.fin,0,NETWORKDAYS(_xlpm.inicio,_xlpm.fin,_xlpm.feriados)),_xlpm.factor,IF($G271="Probable",IF(Parametros!$B$6="Sí",1,0),1),IF(OR($A271="",$D271="",$E271=""),0,_xlpm.dias*$I271*_xlpm.factor))</f>
        <v/>
      </c>
      <c r="N271" s="33">
        <f>_xlfn.LET(_xlpm.inicio,MAX($D271,N$3),_xlpm.fin,MIN($E271,N$4),_xlpm.feriados,IF($H271="CO",FER_CO,FER_EC),_xlpm.dias,IF(_xlpm.inicio&gt;_xlpm.fin,0,NETWORKDAYS(_xlpm.inicio,_xlpm.fin,_xlpm.feriados)),_xlpm.factor,IF($G271="Probable",IF(Parametros!$B$6="Sí",1,0),1),IF(OR($A271="",$D271="",$E271=""),0,_xlpm.dias*$I271*_xlpm.factor))</f>
        <v/>
      </c>
      <c r="O271" s="33">
        <f>_xlfn.LET(_xlpm.inicio,MAX($D271,O$3),_xlpm.fin,MIN($E271,O$4),_xlpm.feriados,IF($H271="CO",FER_CO,FER_EC),_xlpm.dias,IF(_xlpm.inicio&gt;_xlpm.fin,0,NETWORKDAYS(_xlpm.inicio,_xlpm.fin,_xlpm.feriados)),_xlpm.factor,IF($G271="Probable",IF(Parametros!$B$6="Sí",1,0),1),IF(OR($A271="",$D271="",$E271=""),0,_xlpm.dias*$I271*_xlpm.factor))</f>
        <v/>
      </c>
      <c r="P271" s="34">
        <f>_xlfn.LET(_xlpm.horas,J271,_xlpm.feriados,IF($H271="CO",FER_CO,FER_EC),_xlpm.capacidad,NETWORKDAYS(J$3,J$4,_xlpm.feriados)*INDEX(Consultores!$C$6:$C$65,MATCH($A271,Consultores!$A$6:$A$65,0)),IF(_xlpm.horas=0,"",IFERROR(_xlpm.horas/_xlpm.capacidad,"")))</f>
        <v/>
      </c>
      <c r="Q271" s="34">
        <f>_xlfn.LET(_xlpm.horas,K271,_xlpm.feriados,IF($H271="CO",FER_CO,FER_EC),_xlpm.capacidad,NETWORKDAYS(K$3,K$4,_xlpm.feriados)*INDEX(Consultores!$C$6:$C$65,MATCH($A271,Consultores!$A$6:$A$65,0)),IF(_xlpm.horas=0,"",IFERROR(_xlpm.horas/_xlpm.capacidad,"")))</f>
        <v/>
      </c>
      <c r="R271" s="34">
        <f>_xlfn.LET(_xlpm.horas,L271,_xlpm.feriados,IF($H271="CO",FER_CO,FER_EC),_xlpm.capacidad,NETWORKDAYS(L$3,L$4,_xlpm.feriados)*INDEX(Consultores!$C$6:$C$65,MATCH($A271,Consultores!$A$6:$A$65,0)),IF(_xlpm.horas=0,"",IFERROR(_xlpm.horas/_xlpm.capacidad,"")))</f>
        <v/>
      </c>
      <c r="S271" s="34">
        <f>_xlfn.LET(_xlpm.horas,M271,_xlpm.feriados,IF($H271="CO",FER_CO,FER_EC),_xlpm.capacidad,NETWORKDAYS(M$3,M$4,_xlpm.feriados)*INDEX(Consultores!$C$6:$C$65,MATCH($A271,Consultores!$A$6:$A$65,0)),IF(_xlpm.horas=0,"",IFERROR(_xlpm.horas/_xlpm.capacidad,"")))</f>
        <v/>
      </c>
      <c r="T271" s="34">
        <f>_xlfn.LET(_xlpm.horas,N271,_xlpm.feriados,IF($H271="CO",FER_CO,FER_EC),_xlpm.capacidad,NETWORKDAYS(N$3,N$4,_xlpm.feriados)*INDEX(Consultores!$C$6:$C$65,MATCH($A271,Consultores!$A$6:$A$65,0)),IF(_xlpm.horas=0,"",IFERROR(_xlpm.horas/_xlpm.capacidad,"")))</f>
        <v/>
      </c>
      <c r="U271" s="34">
        <f>_xlfn.LET(_xlpm.horas,O271,_xlpm.feriados,IF($H271="CO",FER_CO,FER_EC),_xlpm.capacidad,NETWORKDAYS(O$3,O$4,_xlpm.feriados)*INDEX(Consultores!$C$6:$C$65,MATCH($A271,Consultores!$A$6:$A$65,0)),IF(_xlpm.horas=0,"",IFERROR(_xlpm.horas/_xlpm.capacidad,"")))</f>
        <v/>
      </c>
    </row>
    <row r="272">
      <c r="A272" s="25" t="n"/>
      <c r="B272" s="25" t="n"/>
      <c r="C272" s="25" t="n"/>
      <c r="D272" s="30" t="n"/>
      <c r="E272" s="30" t="n"/>
      <c r="F272" s="26" t="n"/>
      <c r="G272" s="25" t="n"/>
      <c r="H272" s="31">
        <f>IF($A272="","",IFERROR(INDEX(Consultores!$B$6:$B$65,MATCH($A272,Consultores!$A$6:$A$65,0)),"No existe"))</f>
        <v/>
      </c>
      <c r="I272" s="32">
        <f>IF($F272="",0,$F272/5)</f>
        <v/>
      </c>
      <c r="J272" s="33">
        <f>_xlfn.LET(_xlpm.inicio,MAX($D272,J$3),_xlpm.fin,MIN($E272,J$4),_xlpm.feriados,IF($H272="CO",FER_CO,FER_EC),_xlpm.dias,IF(_xlpm.inicio&gt;_xlpm.fin,0,NETWORKDAYS(_xlpm.inicio,_xlpm.fin,_xlpm.feriados)),_xlpm.factor,IF($G272="Probable",IF(Parametros!$B$6="Sí",1,0),1),IF(OR($A272="",$D272="",$E272=""),0,_xlpm.dias*$I272*_xlpm.factor))</f>
        <v/>
      </c>
      <c r="K272" s="33">
        <f>_xlfn.LET(_xlpm.inicio,MAX($D272,K$3),_xlpm.fin,MIN($E272,K$4),_xlpm.feriados,IF($H272="CO",FER_CO,FER_EC),_xlpm.dias,IF(_xlpm.inicio&gt;_xlpm.fin,0,NETWORKDAYS(_xlpm.inicio,_xlpm.fin,_xlpm.feriados)),_xlpm.factor,IF($G272="Probable",IF(Parametros!$B$6="Sí",1,0),1),IF(OR($A272="",$D272="",$E272=""),0,_xlpm.dias*$I272*_xlpm.factor))</f>
        <v/>
      </c>
      <c r="L272" s="33">
        <f>_xlfn.LET(_xlpm.inicio,MAX($D272,L$3),_xlpm.fin,MIN($E272,L$4),_xlpm.feriados,IF($H272="CO",FER_CO,FER_EC),_xlpm.dias,IF(_xlpm.inicio&gt;_xlpm.fin,0,NETWORKDAYS(_xlpm.inicio,_xlpm.fin,_xlpm.feriados)),_xlpm.factor,IF($G272="Probable",IF(Parametros!$B$6="Sí",1,0),1),IF(OR($A272="",$D272="",$E272=""),0,_xlpm.dias*$I272*_xlpm.factor))</f>
        <v/>
      </c>
      <c r="M272" s="33">
        <f>_xlfn.LET(_xlpm.inicio,MAX($D272,M$3),_xlpm.fin,MIN($E272,M$4),_xlpm.feriados,IF($H272="CO",FER_CO,FER_EC),_xlpm.dias,IF(_xlpm.inicio&gt;_xlpm.fin,0,NETWORKDAYS(_xlpm.inicio,_xlpm.fin,_xlpm.feriados)),_xlpm.factor,IF($G272="Probable",IF(Parametros!$B$6="Sí",1,0),1),IF(OR($A272="",$D272="",$E272=""),0,_xlpm.dias*$I272*_xlpm.factor))</f>
        <v/>
      </c>
      <c r="N272" s="33">
        <f>_xlfn.LET(_xlpm.inicio,MAX($D272,N$3),_xlpm.fin,MIN($E272,N$4),_xlpm.feriados,IF($H272="CO",FER_CO,FER_EC),_xlpm.dias,IF(_xlpm.inicio&gt;_xlpm.fin,0,NETWORKDAYS(_xlpm.inicio,_xlpm.fin,_xlpm.feriados)),_xlpm.factor,IF($G272="Probable",IF(Parametros!$B$6="Sí",1,0),1),IF(OR($A272="",$D272="",$E272=""),0,_xlpm.dias*$I272*_xlpm.factor))</f>
        <v/>
      </c>
      <c r="O272" s="33">
        <f>_xlfn.LET(_xlpm.inicio,MAX($D272,O$3),_xlpm.fin,MIN($E272,O$4),_xlpm.feriados,IF($H272="CO",FER_CO,FER_EC),_xlpm.dias,IF(_xlpm.inicio&gt;_xlpm.fin,0,NETWORKDAYS(_xlpm.inicio,_xlpm.fin,_xlpm.feriados)),_xlpm.factor,IF($G272="Probable",IF(Parametros!$B$6="Sí",1,0),1),IF(OR($A272="",$D272="",$E272=""),0,_xlpm.dias*$I272*_xlpm.factor))</f>
        <v/>
      </c>
      <c r="P272" s="34">
        <f>_xlfn.LET(_xlpm.horas,J272,_xlpm.feriados,IF($H272="CO",FER_CO,FER_EC),_xlpm.capacidad,NETWORKDAYS(J$3,J$4,_xlpm.feriados)*INDEX(Consultores!$C$6:$C$65,MATCH($A272,Consultores!$A$6:$A$65,0)),IF(_xlpm.horas=0,"",IFERROR(_xlpm.horas/_xlpm.capacidad,"")))</f>
        <v/>
      </c>
      <c r="Q272" s="34">
        <f>_xlfn.LET(_xlpm.horas,K272,_xlpm.feriados,IF($H272="CO",FER_CO,FER_EC),_xlpm.capacidad,NETWORKDAYS(K$3,K$4,_xlpm.feriados)*INDEX(Consultores!$C$6:$C$65,MATCH($A272,Consultores!$A$6:$A$65,0)),IF(_xlpm.horas=0,"",IFERROR(_xlpm.horas/_xlpm.capacidad,"")))</f>
        <v/>
      </c>
      <c r="R272" s="34">
        <f>_xlfn.LET(_xlpm.horas,L272,_xlpm.feriados,IF($H272="CO",FER_CO,FER_EC),_xlpm.capacidad,NETWORKDAYS(L$3,L$4,_xlpm.feriados)*INDEX(Consultores!$C$6:$C$65,MATCH($A272,Consultores!$A$6:$A$65,0)),IF(_xlpm.horas=0,"",IFERROR(_xlpm.horas/_xlpm.capacidad,"")))</f>
        <v/>
      </c>
      <c r="S272" s="34">
        <f>_xlfn.LET(_xlpm.horas,M272,_xlpm.feriados,IF($H272="CO",FER_CO,FER_EC),_xlpm.capacidad,NETWORKDAYS(M$3,M$4,_xlpm.feriados)*INDEX(Consultores!$C$6:$C$65,MATCH($A272,Consultores!$A$6:$A$65,0)),IF(_xlpm.horas=0,"",IFERROR(_xlpm.horas/_xlpm.capacidad,"")))</f>
        <v/>
      </c>
      <c r="T272" s="34">
        <f>_xlfn.LET(_xlpm.horas,N272,_xlpm.feriados,IF($H272="CO",FER_CO,FER_EC),_xlpm.capacidad,NETWORKDAYS(N$3,N$4,_xlpm.feriados)*INDEX(Consultores!$C$6:$C$65,MATCH($A272,Consultores!$A$6:$A$65,0)),IF(_xlpm.horas=0,"",IFERROR(_xlpm.horas/_xlpm.capacidad,"")))</f>
        <v/>
      </c>
      <c r="U272" s="34">
        <f>_xlfn.LET(_xlpm.horas,O272,_xlpm.feriados,IF($H272="CO",FER_CO,FER_EC),_xlpm.capacidad,NETWORKDAYS(O$3,O$4,_xlpm.feriados)*INDEX(Consultores!$C$6:$C$65,MATCH($A272,Consultores!$A$6:$A$65,0)),IF(_xlpm.horas=0,"",IFERROR(_xlpm.horas/_xlpm.capacidad,"")))</f>
        <v/>
      </c>
    </row>
    <row r="273">
      <c r="A273" s="25" t="n"/>
      <c r="B273" s="25" t="n"/>
      <c r="C273" s="25" t="n"/>
      <c r="D273" s="30" t="n"/>
      <c r="E273" s="30" t="n"/>
      <c r="F273" s="26" t="n"/>
      <c r="G273" s="25" t="n"/>
      <c r="H273" s="31">
        <f>IF($A273="","",IFERROR(INDEX(Consultores!$B$6:$B$65,MATCH($A273,Consultores!$A$6:$A$65,0)),"No existe"))</f>
        <v/>
      </c>
      <c r="I273" s="32">
        <f>IF($F273="",0,$F273/5)</f>
        <v/>
      </c>
      <c r="J273" s="33">
        <f>_xlfn.LET(_xlpm.inicio,MAX($D273,J$3),_xlpm.fin,MIN($E273,J$4),_xlpm.feriados,IF($H273="CO",FER_CO,FER_EC),_xlpm.dias,IF(_xlpm.inicio&gt;_xlpm.fin,0,NETWORKDAYS(_xlpm.inicio,_xlpm.fin,_xlpm.feriados)),_xlpm.factor,IF($G273="Probable",IF(Parametros!$B$6="Sí",1,0),1),IF(OR($A273="",$D273="",$E273=""),0,_xlpm.dias*$I273*_xlpm.factor))</f>
        <v/>
      </c>
      <c r="K273" s="33">
        <f>_xlfn.LET(_xlpm.inicio,MAX($D273,K$3),_xlpm.fin,MIN($E273,K$4),_xlpm.feriados,IF($H273="CO",FER_CO,FER_EC),_xlpm.dias,IF(_xlpm.inicio&gt;_xlpm.fin,0,NETWORKDAYS(_xlpm.inicio,_xlpm.fin,_xlpm.feriados)),_xlpm.factor,IF($G273="Probable",IF(Parametros!$B$6="Sí",1,0),1),IF(OR($A273="",$D273="",$E273=""),0,_xlpm.dias*$I273*_xlpm.factor))</f>
        <v/>
      </c>
      <c r="L273" s="33">
        <f>_xlfn.LET(_xlpm.inicio,MAX($D273,L$3),_xlpm.fin,MIN($E273,L$4),_xlpm.feriados,IF($H273="CO",FER_CO,FER_EC),_xlpm.dias,IF(_xlpm.inicio&gt;_xlpm.fin,0,NETWORKDAYS(_xlpm.inicio,_xlpm.fin,_xlpm.feriados)),_xlpm.factor,IF($G273="Probable",IF(Parametros!$B$6="Sí",1,0),1),IF(OR($A273="",$D273="",$E273=""),0,_xlpm.dias*$I273*_xlpm.factor))</f>
        <v/>
      </c>
      <c r="M273" s="33">
        <f>_xlfn.LET(_xlpm.inicio,MAX($D273,M$3),_xlpm.fin,MIN($E273,M$4),_xlpm.feriados,IF($H273="CO",FER_CO,FER_EC),_xlpm.dias,IF(_xlpm.inicio&gt;_xlpm.fin,0,NETWORKDAYS(_xlpm.inicio,_xlpm.fin,_xlpm.feriados)),_xlpm.factor,IF($G273="Probable",IF(Parametros!$B$6="Sí",1,0),1),IF(OR($A273="",$D273="",$E273=""),0,_xlpm.dias*$I273*_xlpm.factor))</f>
        <v/>
      </c>
      <c r="N273" s="33">
        <f>_xlfn.LET(_xlpm.inicio,MAX($D273,N$3),_xlpm.fin,MIN($E273,N$4),_xlpm.feriados,IF($H273="CO",FER_CO,FER_EC),_xlpm.dias,IF(_xlpm.inicio&gt;_xlpm.fin,0,NETWORKDAYS(_xlpm.inicio,_xlpm.fin,_xlpm.feriados)),_xlpm.factor,IF($G273="Probable",IF(Parametros!$B$6="Sí",1,0),1),IF(OR($A273="",$D273="",$E273=""),0,_xlpm.dias*$I273*_xlpm.factor))</f>
        <v/>
      </c>
      <c r="O273" s="33">
        <f>_xlfn.LET(_xlpm.inicio,MAX($D273,O$3),_xlpm.fin,MIN($E273,O$4),_xlpm.feriados,IF($H273="CO",FER_CO,FER_EC),_xlpm.dias,IF(_xlpm.inicio&gt;_xlpm.fin,0,NETWORKDAYS(_xlpm.inicio,_xlpm.fin,_xlpm.feriados)),_xlpm.factor,IF($G273="Probable",IF(Parametros!$B$6="Sí",1,0),1),IF(OR($A273="",$D273="",$E273=""),0,_xlpm.dias*$I273*_xlpm.factor))</f>
        <v/>
      </c>
      <c r="P273" s="34">
        <f>_xlfn.LET(_xlpm.horas,J273,_xlpm.feriados,IF($H273="CO",FER_CO,FER_EC),_xlpm.capacidad,NETWORKDAYS(J$3,J$4,_xlpm.feriados)*INDEX(Consultores!$C$6:$C$65,MATCH($A273,Consultores!$A$6:$A$65,0)),IF(_xlpm.horas=0,"",IFERROR(_xlpm.horas/_xlpm.capacidad,"")))</f>
        <v/>
      </c>
      <c r="Q273" s="34">
        <f>_xlfn.LET(_xlpm.horas,K273,_xlpm.feriados,IF($H273="CO",FER_CO,FER_EC),_xlpm.capacidad,NETWORKDAYS(K$3,K$4,_xlpm.feriados)*INDEX(Consultores!$C$6:$C$65,MATCH($A273,Consultores!$A$6:$A$65,0)),IF(_xlpm.horas=0,"",IFERROR(_xlpm.horas/_xlpm.capacidad,"")))</f>
        <v/>
      </c>
      <c r="R273" s="34">
        <f>_xlfn.LET(_xlpm.horas,L273,_xlpm.feriados,IF($H273="CO",FER_CO,FER_EC),_xlpm.capacidad,NETWORKDAYS(L$3,L$4,_xlpm.feriados)*INDEX(Consultores!$C$6:$C$65,MATCH($A273,Consultores!$A$6:$A$65,0)),IF(_xlpm.horas=0,"",IFERROR(_xlpm.horas/_xlpm.capacidad,"")))</f>
        <v/>
      </c>
      <c r="S273" s="34">
        <f>_xlfn.LET(_xlpm.horas,M273,_xlpm.feriados,IF($H273="CO",FER_CO,FER_EC),_xlpm.capacidad,NETWORKDAYS(M$3,M$4,_xlpm.feriados)*INDEX(Consultores!$C$6:$C$65,MATCH($A273,Consultores!$A$6:$A$65,0)),IF(_xlpm.horas=0,"",IFERROR(_xlpm.horas/_xlpm.capacidad,"")))</f>
        <v/>
      </c>
      <c r="T273" s="34">
        <f>_xlfn.LET(_xlpm.horas,N273,_xlpm.feriados,IF($H273="CO",FER_CO,FER_EC),_xlpm.capacidad,NETWORKDAYS(N$3,N$4,_xlpm.feriados)*INDEX(Consultores!$C$6:$C$65,MATCH($A273,Consultores!$A$6:$A$65,0)),IF(_xlpm.horas=0,"",IFERROR(_xlpm.horas/_xlpm.capacidad,"")))</f>
        <v/>
      </c>
      <c r="U273" s="34">
        <f>_xlfn.LET(_xlpm.horas,O273,_xlpm.feriados,IF($H273="CO",FER_CO,FER_EC),_xlpm.capacidad,NETWORKDAYS(O$3,O$4,_xlpm.feriados)*INDEX(Consultores!$C$6:$C$65,MATCH($A273,Consultores!$A$6:$A$65,0)),IF(_xlpm.horas=0,"",IFERROR(_xlpm.horas/_xlpm.capacidad,"")))</f>
        <v/>
      </c>
    </row>
    <row r="274">
      <c r="A274" s="25" t="n"/>
      <c r="B274" s="25" t="n"/>
      <c r="C274" s="25" t="n"/>
      <c r="D274" s="30" t="n"/>
      <c r="E274" s="30" t="n"/>
      <c r="F274" s="26" t="n"/>
      <c r="G274" s="25" t="n"/>
      <c r="H274" s="31">
        <f>IF($A274="","",IFERROR(INDEX(Consultores!$B$6:$B$65,MATCH($A274,Consultores!$A$6:$A$65,0)),"No existe"))</f>
        <v/>
      </c>
      <c r="I274" s="32">
        <f>IF($F274="",0,$F274/5)</f>
        <v/>
      </c>
      <c r="J274" s="33">
        <f>_xlfn.LET(_xlpm.inicio,MAX($D274,J$3),_xlpm.fin,MIN($E274,J$4),_xlpm.feriados,IF($H274="CO",FER_CO,FER_EC),_xlpm.dias,IF(_xlpm.inicio&gt;_xlpm.fin,0,NETWORKDAYS(_xlpm.inicio,_xlpm.fin,_xlpm.feriados)),_xlpm.factor,IF($G274="Probable",IF(Parametros!$B$6="Sí",1,0),1),IF(OR($A274="",$D274="",$E274=""),0,_xlpm.dias*$I274*_xlpm.factor))</f>
        <v/>
      </c>
      <c r="K274" s="33">
        <f>_xlfn.LET(_xlpm.inicio,MAX($D274,K$3),_xlpm.fin,MIN($E274,K$4),_xlpm.feriados,IF($H274="CO",FER_CO,FER_EC),_xlpm.dias,IF(_xlpm.inicio&gt;_xlpm.fin,0,NETWORKDAYS(_xlpm.inicio,_xlpm.fin,_xlpm.feriados)),_xlpm.factor,IF($G274="Probable",IF(Parametros!$B$6="Sí",1,0),1),IF(OR($A274="",$D274="",$E274=""),0,_xlpm.dias*$I274*_xlpm.factor))</f>
        <v/>
      </c>
      <c r="L274" s="33">
        <f>_xlfn.LET(_xlpm.inicio,MAX($D274,L$3),_xlpm.fin,MIN($E274,L$4),_xlpm.feriados,IF($H274="CO",FER_CO,FER_EC),_xlpm.dias,IF(_xlpm.inicio&gt;_xlpm.fin,0,NETWORKDAYS(_xlpm.inicio,_xlpm.fin,_xlpm.feriados)),_xlpm.factor,IF($G274="Probable",IF(Parametros!$B$6="Sí",1,0),1),IF(OR($A274="",$D274="",$E274=""),0,_xlpm.dias*$I274*_xlpm.factor))</f>
        <v/>
      </c>
      <c r="M274" s="33">
        <f>_xlfn.LET(_xlpm.inicio,MAX($D274,M$3),_xlpm.fin,MIN($E274,M$4),_xlpm.feriados,IF($H274="CO",FER_CO,FER_EC),_xlpm.dias,IF(_xlpm.inicio&gt;_xlpm.fin,0,NETWORKDAYS(_xlpm.inicio,_xlpm.fin,_xlpm.feriados)),_xlpm.factor,IF($G274="Probable",IF(Parametros!$B$6="Sí",1,0),1),IF(OR($A274="",$D274="",$E274=""),0,_xlpm.dias*$I274*_xlpm.factor))</f>
        <v/>
      </c>
      <c r="N274" s="33">
        <f>_xlfn.LET(_xlpm.inicio,MAX($D274,N$3),_xlpm.fin,MIN($E274,N$4),_xlpm.feriados,IF($H274="CO",FER_CO,FER_EC),_xlpm.dias,IF(_xlpm.inicio&gt;_xlpm.fin,0,NETWORKDAYS(_xlpm.inicio,_xlpm.fin,_xlpm.feriados)),_xlpm.factor,IF($G274="Probable",IF(Parametros!$B$6="Sí",1,0),1),IF(OR($A274="",$D274="",$E274=""),0,_xlpm.dias*$I274*_xlpm.factor))</f>
        <v/>
      </c>
      <c r="O274" s="33">
        <f>_xlfn.LET(_xlpm.inicio,MAX($D274,O$3),_xlpm.fin,MIN($E274,O$4),_xlpm.feriados,IF($H274="CO",FER_CO,FER_EC),_xlpm.dias,IF(_xlpm.inicio&gt;_xlpm.fin,0,NETWORKDAYS(_xlpm.inicio,_xlpm.fin,_xlpm.feriados)),_xlpm.factor,IF($G274="Probable",IF(Parametros!$B$6="Sí",1,0),1),IF(OR($A274="",$D274="",$E274=""),0,_xlpm.dias*$I274*_xlpm.factor))</f>
        <v/>
      </c>
      <c r="P274" s="34">
        <f>_xlfn.LET(_xlpm.horas,J274,_xlpm.feriados,IF($H274="CO",FER_CO,FER_EC),_xlpm.capacidad,NETWORKDAYS(J$3,J$4,_xlpm.feriados)*INDEX(Consultores!$C$6:$C$65,MATCH($A274,Consultores!$A$6:$A$65,0)),IF(_xlpm.horas=0,"",IFERROR(_xlpm.horas/_xlpm.capacidad,"")))</f>
        <v/>
      </c>
      <c r="Q274" s="34">
        <f>_xlfn.LET(_xlpm.horas,K274,_xlpm.feriados,IF($H274="CO",FER_CO,FER_EC),_xlpm.capacidad,NETWORKDAYS(K$3,K$4,_xlpm.feriados)*INDEX(Consultores!$C$6:$C$65,MATCH($A274,Consultores!$A$6:$A$65,0)),IF(_xlpm.horas=0,"",IFERROR(_xlpm.horas/_xlpm.capacidad,"")))</f>
        <v/>
      </c>
      <c r="R274" s="34">
        <f>_xlfn.LET(_xlpm.horas,L274,_xlpm.feriados,IF($H274="CO",FER_CO,FER_EC),_xlpm.capacidad,NETWORKDAYS(L$3,L$4,_xlpm.feriados)*INDEX(Consultores!$C$6:$C$65,MATCH($A274,Consultores!$A$6:$A$65,0)),IF(_xlpm.horas=0,"",IFERROR(_xlpm.horas/_xlpm.capacidad,"")))</f>
        <v/>
      </c>
      <c r="S274" s="34">
        <f>_xlfn.LET(_xlpm.horas,M274,_xlpm.feriados,IF($H274="CO",FER_CO,FER_EC),_xlpm.capacidad,NETWORKDAYS(M$3,M$4,_xlpm.feriados)*INDEX(Consultores!$C$6:$C$65,MATCH($A274,Consultores!$A$6:$A$65,0)),IF(_xlpm.horas=0,"",IFERROR(_xlpm.horas/_xlpm.capacidad,"")))</f>
        <v/>
      </c>
      <c r="T274" s="34">
        <f>_xlfn.LET(_xlpm.horas,N274,_xlpm.feriados,IF($H274="CO",FER_CO,FER_EC),_xlpm.capacidad,NETWORKDAYS(N$3,N$4,_xlpm.feriados)*INDEX(Consultores!$C$6:$C$65,MATCH($A274,Consultores!$A$6:$A$65,0)),IF(_xlpm.horas=0,"",IFERROR(_xlpm.horas/_xlpm.capacidad,"")))</f>
        <v/>
      </c>
      <c r="U274" s="34">
        <f>_xlfn.LET(_xlpm.horas,O274,_xlpm.feriados,IF($H274="CO",FER_CO,FER_EC),_xlpm.capacidad,NETWORKDAYS(O$3,O$4,_xlpm.feriados)*INDEX(Consultores!$C$6:$C$65,MATCH($A274,Consultores!$A$6:$A$65,0)),IF(_xlpm.horas=0,"",IFERROR(_xlpm.horas/_xlpm.capacidad,"")))</f>
        <v/>
      </c>
    </row>
    <row r="275">
      <c r="A275" s="25" t="n"/>
      <c r="B275" s="25" t="n"/>
      <c r="C275" s="25" t="n"/>
      <c r="D275" s="30" t="n"/>
      <c r="E275" s="30" t="n"/>
      <c r="F275" s="26" t="n"/>
      <c r="G275" s="25" t="n"/>
      <c r="H275" s="31">
        <f>IF($A275="","",IFERROR(INDEX(Consultores!$B$6:$B$65,MATCH($A275,Consultores!$A$6:$A$65,0)),"No existe"))</f>
        <v/>
      </c>
      <c r="I275" s="32">
        <f>IF($F275="",0,$F275/5)</f>
        <v/>
      </c>
      <c r="J275" s="33">
        <f>_xlfn.LET(_xlpm.inicio,MAX($D275,J$3),_xlpm.fin,MIN($E275,J$4),_xlpm.feriados,IF($H275="CO",FER_CO,FER_EC),_xlpm.dias,IF(_xlpm.inicio&gt;_xlpm.fin,0,NETWORKDAYS(_xlpm.inicio,_xlpm.fin,_xlpm.feriados)),_xlpm.factor,IF($G275="Probable",IF(Parametros!$B$6="Sí",1,0),1),IF(OR($A275="",$D275="",$E275=""),0,_xlpm.dias*$I275*_xlpm.factor))</f>
        <v/>
      </c>
      <c r="K275" s="33">
        <f>_xlfn.LET(_xlpm.inicio,MAX($D275,K$3),_xlpm.fin,MIN($E275,K$4),_xlpm.feriados,IF($H275="CO",FER_CO,FER_EC),_xlpm.dias,IF(_xlpm.inicio&gt;_xlpm.fin,0,NETWORKDAYS(_xlpm.inicio,_xlpm.fin,_xlpm.feriados)),_xlpm.factor,IF($G275="Probable",IF(Parametros!$B$6="Sí",1,0),1),IF(OR($A275="",$D275="",$E275=""),0,_xlpm.dias*$I275*_xlpm.factor))</f>
        <v/>
      </c>
      <c r="L275" s="33">
        <f>_xlfn.LET(_xlpm.inicio,MAX($D275,L$3),_xlpm.fin,MIN($E275,L$4),_xlpm.feriados,IF($H275="CO",FER_CO,FER_EC),_xlpm.dias,IF(_xlpm.inicio&gt;_xlpm.fin,0,NETWORKDAYS(_xlpm.inicio,_xlpm.fin,_xlpm.feriados)),_xlpm.factor,IF($G275="Probable",IF(Parametros!$B$6="Sí",1,0),1),IF(OR($A275="",$D275="",$E275=""),0,_xlpm.dias*$I275*_xlpm.factor))</f>
        <v/>
      </c>
      <c r="M275" s="33">
        <f>_xlfn.LET(_xlpm.inicio,MAX($D275,M$3),_xlpm.fin,MIN($E275,M$4),_xlpm.feriados,IF($H275="CO",FER_CO,FER_EC),_xlpm.dias,IF(_xlpm.inicio&gt;_xlpm.fin,0,NETWORKDAYS(_xlpm.inicio,_xlpm.fin,_xlpm.feriados)),_xlpm.factor,IF($G275="Probable",IF(Parametros!$B$6="Sí",1,0),1),IF(OR($A275="",$D275="",$E275=""),0,_xlpm.dias*$I275*_xlpm.factor))</f>
        <v/>
      </c>
      <c r="N275" s="33">
        <f>_xlfn.LET(_xlpm.inicio,MAX($D275,N$3),_xlpm.fin,MIN($E275,N$4),_xlpm.feriados,IF($H275="CO",FER_CO,FER_EC),_xlpm.dias,IF(_xlpm.inicio&gt;_xlpm.fin,0,NETWORKDAYS(_xlpm.inicio,_xlpm.fin,_xlpm.feriados)),_xlpm.factor,IF($G275="Probable",IF(Parametros!$B$6="Sí",1,0),1),IF(OR($A275="",$D275="",$E275=""),0,_xlpm.dias*$I275*_xlpm.factor))</f>
        <v/>
      </c>
      <c r="O275" s="33">
        <f>_xlfn.LET(_xlpm.inicio,MAX($D275,O$3),_xlpm.fin,MIN($E275,O$4),_xlpm.feriados,IF($H275="CO",FER_CO,FER_EC),_xlpm.dias,IF(_xlpm.inicio&gt;_xlpm.fin,0,NETWORKDAYS(_xlpm.inicio,_xlpm.fin,_xlpm.feriados)),_xlpm.factor,IF($G275="Probable",IF(Parametros!$B$6="Sí",1,0),1),IF(OR($A275="",$D275="",$E275=""),0,_xlpm.dias*$I275*_xlpm.factor))</f>
        <v/>
      </c>
      <c r="P275" s="34">
        <f>_xlfn.LET(_xlpm.horas,J275,_xlpm.feriados,IF($H275="CO",FER_CO,FER_EC),_xlpm.capacidad,NETWORKDAYS(J$3,J$4,_xlpm.feriados)*INDEX(Consultores!$C$6:$C$65,MATCH($A275,Consultores!$A$6:$A$65,0)),IF(_xlpm.horas=0,"",IFERROR(_xlpm.horas/_xlpm.capacidad,"")))</f>
        <v/>
      </c>
      <c r="Q275" s="34">
        <f>_xlfn.LET(_xlpm.horas,K275,_xlpm.feriados,IF($H275="CO",FER_CO,FER_EC),_xlpm.capacidad,NETWORKDAYS(K$3,K$4,_xlpm.feriados)*INDEX(Consultores!$C$6:$C$65,MATCH($A275,Consultores!$A$6:$A$65,0)),IF(_xlpm.horas=0,"",IFERROR(_xlpm.horas/_xlpm.capacidad,"")))</f>
        <v/>
      </c>
      <c r="R275" s="34">
        <f>_xlfn.LET(_xlpm.horas,L275,_xlpm.feriados,IF($H275="CO",FER_CO,FER_EC),_xlpm.capacidad,NETWORKDAYS(L$3,L$4,_xlpm.feriados)*INDEX(Consultores!$C$6:$C$65,MATCH($A275,Consultores!$A$6:$A$65,0)),IF(_xlpm.horas=0,"",IFERROR(_xlpm.horas/_xlpm.capacidad,"")))</f>
        <v/>
      </c>
      <c r="S275" s="34">
        <f>_xlfn.LET(_xlpm.horas,M275,_xlpm.feriados,IF($H275="CO",FER_CO,FER_EC),_xlpm.capacidad,NETWORKDAYS(M$3,M$4,_xlpm.feriados)*INDEX(Consultores!$C$6:$C$65,MATCH($A275,Consultores!$A$6:$A$65,0)),IF(_xlpm.horas=0,"",IFERROR(_xlpm.horas/_xlpm.capacidad,"")))</f>
        <v/>
      </c>
      <c r="T275" s="34">
        <f>_xlfn.LET(_xlpm.horas,N275,_xlpm.feriados,IF($H275="CO",FER_CO,FER_EC),_xlpm.capacidad,NETWORKDAYS(N$3,N$4,_xlpm.feriados)*INDEX(Consultores!$C$6:$C$65,MATCH($A275,Consultores!$A$6:$A$65,0)),IF(_xlpm.horas=0,"",IFERROR(_xlpm.horas/_xlpm.capacidad,"")))</f>
        <v/>
      </c>
      <c r="U275" s="34">
        <f>_xlfn.LET(_xlpm.horas,O275,_xlpm.feriados,IF($H275="CO",FER_CO,FER_EC),_xlpm.capacidad,NETWORKDAYS(O$3,O$4,_xlpm.feriados)*INDEX(Consultores!$C$6:$C$65,MATCH($A275,Consultores!$A$6:$A$65,0)),IF(_xlpm.horas=0,"",IFERROR(_xlpm.horas/_xlpm.capacidad,"")))</f>
        <v/>
      </c>
    </row>
    <row r="276">
      <c r="A276" s="25" t="n"/>
      <c r="B276" s="25" t="n"/>
      <c r="C276" s="25" t="n"/>
      <c r="D276" s="30" t="n"/>
      <c r="E276" s="30" t="n"/>
      <c r="F276" s="26" t="n"/>
      <c r="G276" s="25" t="n"/>
      <c r="H276" s="31">
        <f>IF($A276="","",IFERROR(INDEX(Consultores!$B$6:$B$65,MATCH($A276,Consultores!$A$6:$A$65,0)),"No existe"))</f>
        <v/>
      </c>
      <c r="I276" s="32">
        <f>IF($F276="",0,$F276/5)</f>
        <v/>
      </c>
      <c r="J276" s="33">
        <f>_xlfn.LET(_xlpm.inicio,MAX($D276,J$3),_xlpm.fin,MIN($E276,J$4),_xlpm.feriados,IF($H276="CO",FER_CO,FER_EC),_xlpm.dias,IF(_xlpm.inicio&gt;_xlpm.fin,0,NETWORKDAYS(_xlpm.inicio,_xlpm.fin,_xlpm.feriados)),_xlpm.factor,IF($G276="Probable",IF(Parametros!$B$6="Sí",1,0),1),IF(OR($A276="",$D276="",$E276=""),0,_xlpm.dias*$I276*_xlpm.factor))</f>
        <v/>
      </c>
      <c r="K276" s="33">
        <f>_xlfn.LET(_xlpm.inicio,MAX($D276,K$3),_xlpm.fin,MIN($E276,K$4),_xlpm.feriados,IF($H276="CO",FER_CO,FER_EC),_xlpm.dias,IF(_xlpm.inicio&gt;_xlpm.fin,0,NETWORKDAYS(_xlpm.inicio,_xlpm.fin,_xlpm.feriados)),_xlpm.factor,IF($G276="Probable",IF(Parametros!$B$6="Sí",1,0),1),IF(OR($A276="",$D276="",$E276=""),0,_xlpm.dias*$I276*_xlpm.factor))</f>
        <v/>
      </c>
      <c r="L276" s="33">
        <f>_xlfn.LET(_xlpm.inicio,MAX($D276,L$3),_xlpm.fin,MIN($E276,L$4),_xlpm.feriados,IF($H276="CO",FER_CO,FER_EC),_xlpm.dias,IF(_xlpm.inicio&gt;_xlpm.fin,0,NETWORKDAYS(_xlpm.inicio,_xlpm.fin,_xlpm.feriados)),_xlpm.factor,IF($G276="Probable",IF(Parametros!$B$6="Sí",1,0),1),IF(OR($A276="",$D276="",$E276=""),0,_xlpm.dias*$I276*_xlpm.factor))</f>
        <v/>
      </c>
      <c r="M276" s="33">
        <f>_xlfn.LET(_xlpm.inicio,MAX($D276,M$3),_xlpm.fin,MIN($E276,M$4),_xlpm.feriados,IF($H276="CO",FER_CO,FER_EC),_xlpm.dias,IF(_xlpm.inicio&gt;_xlpm.fin,0,NETWORKDAYS(_xlpm.inicio,_xlpm.fin,_xlpm.feriados)),_xlpm.factor,IF($G276="Probable",IF(Parametros!$B$6="Sí",1,0),1),IF(OR($A276="",$D276="",$E276=""),0,_xlpm.dias*$I276*_xlpm.factor))</f>
        <v/>
      </c>
      <c r="N276" s="33">
        <f>_xlfn.LET(_xlpm.inicio,MAX($D276,N$3),_xlpm.fin,MIN($E276,N$4),_xlpm.feriados,IF($H276="CO",FER_CO,FER_EC),_xlpm.dias,IF(_xlpm.inicio&gt;_xlpm.fin,0,NETWORKDAYS(_xlpm.inicio,_xlpm.fin,_xlpm.feriados)),_xlpm.factor,IF($G276="Probable",IF(Parametros!$B$6="Sí",1,0),1),IF(OR($A276="",$D276="",$E276=""),0,_xlpm.dias*$I276*_xlpm.factor))</f>
        <v/>
      </c>
      <c r="O276" s="33">
        <f>_xlfn.LET(_xlpm.inicio,MAX($D276,O$3),_xlpm.fin,MIN($E276,O$4),_xlpm.feriados,IF($H276="CO",FER_CO,FER_EC),_xlpm.dias,IF(_xlpm.inicio&gt;_xlpm.fin,0,NETWORKDAYS(_xlpm.inicio,_xlpm.fin,_xlpm.feriados)),_xlpm.factor,IF($G276="Probable",IF(Parametros!$B$6="Sí",1,0),1),IF(OR($A276="",$D276="",$E276=""),0,_xlpm.dias*$I276*_xlpm.factor))</f>
        <v/>
      </c>
      <c r="P276" s="34">
        <f>_xlfn.LET(_xlpm.horas,J276,_xlpm.feriados,IF($H276="CO",FER_CO,FER_EC),_xlpm.capacidad,NETWORKDAYS(J$3,J$4,_xlpm.feriados)*INDEX(Consultores!$C$6:$C$65,MATCH($A276,Consultores!$A$6:$A$65,0)),IF(_xlpm.horas=0,"",IFERROR(_xlpm.horas/_xlpm.capacidad,"")))</f>
        <v/>
      </c>
      <c r="Q276" s="34">
        <f>_xlfn.LET(_xlpm.horas,K276,_xlpm.feriados,IF($H276="CO",FER_CO,FER_EC),_xlpm.capacidad,NETWORKDAYS(K$3,K$4,_xlpm.feriados)*INDEX(Consultores!$C$6:$C$65,MATCH($A276,Consultores!$A$6:$A$65,0)),IF(_xlpm.horas=0,"",IFERROR(_xlpm.horas/_xlpm.capacidad,"")))</f>
        <v/>
      </c>
      <c r="R276" s="34">
        <f>_xlfn.LET(_xlpm.horas,L276,_xlpm.feriados,IF($H276="CO",FER_CO,FER_EC),_xlpm.capacidad,NETWORKDAYS(L$3,L$4,_xlpm.feriados)*INDEX(Consultores!$C$6:$C$65,MATCH($A276,Consultores!$A$6:$A$65,0)),IF(_xlpm.horas=0,"",IFERROR(_xlpm.horas/_xlpm.capacidad,"")))</f>
        <v/>
      </c>
      <c r="S276" s="34">
        <f>_xlfn.LET(_xlpm.horas,M276,_xlpm.feriados,IF($H276="CO",FER_CO,FER_EC),_xlpm.capacidad,NETWORKDAYS(M$3,M$4,_xlpm.feriados)*INDEX(Consultores!$C$6:$C$65,MATCH($A276,Consultores!$A$6:$A$65,0)),IF(_xlpm.horas=0,"",IFERROR(_xlpm.horas/_xlpm.capacidad,"")))</f>
        <v/>
      </c>
      <c r="T276" s="34">
        <f>_xlfn.LET(_xlpm.horas,N276,_xlpm.feriados,IF($H276="CO",FER_CO,FER_EC),_xlpm.capacidad,NETWORKDAYS(N$3,N$4,_xlpm.feriados)*INDEX(Consultores!$C$6:$C$65,MATCH($A276,Consultores!$A$6:$A$65,0)),IF(_xlpm.horas=0,"",IFERROR(_xlpm.horas/_xlpm.capacidad,"")))</f>
        <v/>
      </c>
      <c r="U276" s="34">
        <f>_xlfn.LET(_xlpm.horas,O276,_xlpm.feriados,IF($H276="CO",FER_CO,FER_EC),_xlpm.capacidad,NETWORKDAYS(O$3,O$4,_xlpm.feriados)*INDEX(Consultores!$C$6:$C$65,MATCH($A276,Consultores!$A$6:$A$65,0)),IF(_xlpm.horas=0,"",IFERROR(_xlpm.horas/_xlpm.capacidad,"")))</f>
        <v/>
      </c>
    </row>
    <row r="277">
      <c r="A277" s="25" t="n"/>
      <c r="B277" s="25" t="n"/>
      <c r="C277" s="25" t="n"/>
      <c r="D277" s="30" t="n"/>
      <c r="E277" s="30" t="n"/>
      <c r="F277" s="26" t="n"/>
      <c r="G277" s="25" t="n"/>
      <c r="H277" s="31">
        <f>IF($A277="","",IFERROR(INDEX(Consultores!$B$6:$B$65,MATCH($A277,Consultores!$A$6:$A$65,0)),"No existe"))</f>
        <v/>
      </c>
      <c r="I277" s="32">
        <f>IF($F277="",0,$F277/5)</f>
        <v/>
      </c>
      <c r="J277" s="33">
        <f>_xlfn.LET(_xlpm.inicio,MAX($D277,J$3),_xlpm.fin,MIN($E277,J$4),_xlpm.feriados,IF($H277="CO",FER_CO,FER_EC),_xlpm.dias,IF(_xlpm.inicio&gt;_xlpm.fin,0,NETWORKDAYS(_xlpm.inicio,_xlpm.fin,_xlpm.feriados)),_xlpm.factor,IF($G277="Probable",IF(Parametros!$B$6="Sí",1,0),1),IF(OR($A277="",$D277="",$E277=""),0,_xlpm.dias*$I277*_xlpm.factor))</f>
        <v/>
      </c>
      <c r="K277" s="33">
        <f>_xlfn.LET(_xlpm.inicio,MAX($D277,K$3),_xlpm.fin,MIN($E277,K$4),_xlpm.feriados,IF($H277="CO",FER_CO,FER_EC),_xlpm.dias,IF(_xlpm.inicio&gt;_xlpm.fin,0,NETWORKDAYS(_xlpm.inicio,_xlpm.fin,_xlpm.feriados)),_xlpm.factor,IF($G277="Probable",IF(Parametros!$B$6="Sí",1,0),1),IF(OR($A277="",$D277="",$E277=""),0,_xlpm.dias*$I277*_xlpm.factor))</f>
        <v/>
      </c>
      <c r="L277" s="33">
        <f>_xlfn.LET(_xlpm.inicio,MAX($D277,L$3),_xlpm.fin,MIN($E277,L$4),_xlpm.feriados,IF($H277="CO",FER_CO,FER_EC),_xlpm.dias,IF(_xlpm.inicio&gt;_xlpm.fin,0,NETWORKDAYS(_xlpm.inicio,_xlpm.fin,_xlpm.feriados)),_xlpm.factor,IF($G277="Probable",IF(Parametros!$B$6="Sí",1,0),1),IF(OR($A277="",$D277="",$E277=""),0,_xlpm.dias*$I277*_xlpm.factor))</f>
        <v/>
      </c>
      <c r="M277" s="33">
        <f>_xlfn.LET(_xlpm.inicio,MAX($D277,M$3),_xlpm.fin,MIN($E277,M$4),_xlpm.feriados,IF($H277="CO",FER_CO,FER_EC),_xlpm.dias,IF(_xlpm.inicio&gt;_xlpm.fin,0,NETWORKDAYS(_xlpm.inicio,_xlpm.fin,_xlpm.feriados)),_xlpm.factor,IF($G277="Probable",IF(Parametros!$B$6="Sí",1,0),1),IF(OR($A277="",$D277="",$E277=""),0,_xlpm.dias*$I277*_xlpm.factor))</f>
        <v/>
      </c>
      <c r="N277" s="33">
        <f>_xlfn.LET(_xlpm.inicio,MAX($D277,N$3),_xlpm.fin,MIN($E277,N$4),_xlpm.feriados,IF($H277="CO",FER_CO,FER_EC),_xlpm.dias,IF(_xlpm.inicio&gt;_xlpm.fin,0,NETWORKDAYS(_xlpm.inicio,_xlpm.fin,_xlpm.feriados)),_xlpm.factor,IF($G277="Probable",IF(Parametros!$B$6="Sí",1,0),1),IF(OR($A277="",$D277="",$E277=""),0,_xlpm.dias*$I277*_xlpm.factor))</f>
        <v/>
      </c>
      <c r="O277" s="33">
        <f>_xlfn.LET(_xlpm.inicio,MAX($D277,O$3),_xlpm.fin,MIN($E277,O$4),_xlpm.feriados,IF($H277="CO",FER_CO,FER_EC),_xlpm.dias,IF(_xlpm.inicio&gt;_xlpm.fin,0,NETWORKDAYS(_xlpm.inicio,_xlpm.fin,_xlpm.feriados)),_xlpm.factor,IF($G277="Probable",IF(Parametros!$B$6="Sí",1,0),1),IF(OR($A277="",$D277="",$E277=""),0,_xlpm.dias*$I277*_xlpm.factor))</f>
        <v/>
      </c>
      <c r="P277" s="34">
        <f>_xlfn.LET(_xlpm.horas,J277,_xlpm.feriados,IF($H277="CO",FER_CO,FER_EC),_xlpm.capacidad,NETWORKDAYS(J$3,J$4,_xlpm.feriados)*INDEX(Consultores!$C$6:$C$65,MATCH($A277,Consultores!$A$6:$A$65,0)),IF(_xlpm.horas=0,"",IFERROR(_xlpm.horas/_xlpm.capacidad,"")))</f>
        <v/>
      </c>
      <c r="Q277" s="34">
        <f>_xlfn.LET(_xlpm.horas,K277,_xlpm.feriados,IF($H277="CO",FER_CO,FER_EC),_xlpm.capacidad,NETWORKDAYS(K$3,K$4,_xlpm.feriados)*INDEX(Consultores!$C$6:$C$65,MATCH($A277,Consultores!$A$6:$A$65,0)),IF(_xlpm.horas=0,"",IFERROR(_xlpm.horas/_xlpm.capacidad,"")))</f>
        <v/>
      </c>
      <c r="R277" s="34">
        <f>_xlfn.LET(_xlpm.horas,L277,_xlpm.feriados,IF($H277="CO",FER_CO,FER_EC),_xlpm.capacidad,NETWORKDAYS(L$3,L$4,_xlpm.feriados)*INDEX(Consultores!$C$6:$C$65,MATCH($A277,Consultores!$A$6:$A$65,0)),IF(_xlpm.horas=0,"",IFERROR(_xlpm.horas/_xlpm.capacidad,"")))</f>
        <v/>
      </c>
      <c r="S277" s="34">
        <f>_xlfn.LET(_xlpm.horas,M277,_xlpm.feriados,IF($H277="CO",FER_CO,FER_EC),_xlpm.capacidad,NETWORKDAYS(M$3,M$4,_xlpm.feriados)*INDEX(Consultores!$C$6:$C$65,MATCH($A277,Consultores!$A$6:$A$65,0)),IF(_xlpm.horas=0,"",IFERROR(_xlpm.horas/_xlpm.capacidad,"")))</f>
        <v/>
      </c>
      <c r="T277" s="34">
        <f>_xlfn.LET(_xlpm.horas,N277,_xlpm.feriados,IF($H277="CO",FER_CO,FER_EC),_xlpm.capacidad,NETWORKDAYS(N$3,N$4,_xlpm.feriados)*INDEX(Consultores!$C$6:$C$65,MATCH($A277,Consultores!$A$6:$A$65,0)),IF(_xlpm.horas=0,"",IFERROR(_xlpm.horas/_xlpm.capacidad,"")))</f>
        <v/>
      </c>
      <c r="U277" s="34">
        <f>_xlfn.LET(_xlpm.horas,O277,_xlpm.feriados,IF($H277="CO",FER_CO,FER_EC),_xlpm.capacidad,NETWORKDAYS(O$3,O$4,_xlpm.feriados)*INDEX(Consultores!$C$6:$C$65,MATCH($A277,Consultores!$A$6:$A$65,0)),IF(_xlpm.horas=0,"",IFERROR(_xlpm.horas/_xlpm.capacidad,"")))</f>
        <v/>
      </c>
    </row>
    <row r="278">
      <c r="A278" s="25" t="n"/>
      <c r="B278" s="25" t="n"/>
      <c r="C278" s="25" t="n"/>
      <c r="D278" s="30" t="n"/>
      <c r="E278" s="30" t="n"/>
      <c r="F278" s="26" t="n"/>
      <c r="G278" s="25" t="n"/>
      <c r="H278" s="31">
        <f>IF($A278="","",IFERROR(INDEX(Consultores!$B$6:$B$65,MATCH($A278,Consultores!$A$6:$A$65,0)),"No existe"))</f>
        <v/>
      </c>
      <c r="I278" s="32">
        <f>IF($F278="",0,$F278/5)</f>
        <v/>
      </c>
      <c r="J278" s="33">
        <f>_xlfn.LET(_xlpm.inicio,MAX($D278,J$3),_xlpm.fin,MIN($E278,J$4),_xlpm.feriados,IF($H278="CO",FER_CO,FER_EC),_xlpm.dias,IF(_xlpm.inicio&gt;_xlpm.fin,0,NETWORKDAYS(_xlpm.inicio,_xlpm.fin,_xlpm.feriados)),_xlpm.factor,IF($G278="Probable",IF(Parametros!$B$6="Sí",1,0),1),IF(OR($A278="",$D278="",$E278=""),0,_xlpm.dias*$I278*_xlpm.factor))</f>
        <v/>
      </c>
      <c r="K278" s="33">
        <f>_xlfn.LET(_xlpm.inicio,MAX($D278,K$3),_xlpm.fin,MIN($E278,K$4),_xlpm.feriados,IF($H278="CO",FER_CO,FER_EC),_xlpm.dias,IF(_xlpm.inicio&gt;_xlpm.fin,0,NETWORKDAYS(_xlpm.inicio,_xlpm.fin,_xlpm.feriados)),_xlpm.factor,IF($G278="Probable",IF(Parametros!$B$6="Sí",1,0),1),IF(OR($A278="",$D278="",$E278=""),0,_xlpm.dias*$I278*_xlpm.factor))</f>
        <v/>
      </c>
      <c r="L278" s="33">
        <f>_xlfn.LET(_xlpm.inicio,MAX($D278,L$3),_xlpm.fin,MIN($E278,L$4),_xlpm.feriados,IF($H278="CO",FER_CO,FER_EC),_xlpm.dias,IF(_xlpm.inicio&gt;_xlpm.fin,0,NETWORKDAYS(_xlpm.inicio,_xlpm.fin,_xlpm.feriados)),_xlpm.factor,IF($G278="Probable",IF(Parametros!$B$6="Sí",1,0),1),IF(OR($A278="",$D278="",$E278=""),0,_xlpm.dias*$I278*_xlpm.factor))</f>
        <v/>
      </c>
      <c r="M278" s="33">
        <f>_xlfn.LET(_xlpm.inicio,MAX($D278,M$3),_xlpm.fin,MIN($E278,M$4),_xlpm.feriados,IF($H278="CO",FER_CO,FER_EC),_xlpm.dias,IF(_xlpm.inicio&gt;_xlpm.fin,0,NETWORKDAYS(_xlpm.inicio,_xlpm.fin,_xlpm.feriados)),_xlpm.factor,IF($G278="Probable",IF(Parametros!$B$6="Sí",1,0),1),IF(OR($A278="",$D278="",$E278=""),0,_xlpm.dias*$I278*_xlpm.factor))</f>
        <v/>
      </c>
      <c r="N278" s="33">
        <f>_xlfn.LET(_xlpm.inicio,MAX($D278,N$3),_xlpm.fin,MIN($E278,N$4),_xlpm.feriados,IF($H278="CO",FER_CO,FER_EC),_xlpm.dias,IF(_xlpm.inicio&gt;_xlpm.fin,0,NETWORKDAYS(_xlpm.inicio,_xlpm.fin,_xlpm.feriados)),_xlpm.factor,IF($G278="Probable",IF(Parametros!$B$6="Sí",1,0),1),IF(OR($A278="",$D278="",$E278=""),0,_xlpm.dias*$I278*_xlpm.factor))</f>
        <v/>
      </c>
      <c r="O278" s="33">
        <f>_xlfn.LET(_xlpm.inicio,MAX($D278,O$3),_xlpm.fin,MIN($E278,O$4),_xlpm.feriados,IF($H278="CO",FER_CO,FER_EC),_xlpm.dias,IF(_xlpm.inicio&gt;_xlpm.fin,0,NETWORKDAYS(_xlpm.inicio,_xlpm.fin,_xlpm.feriados)),_xlpm.factor,IF($G278="Probable",IF(Parametros!$B$6="Sí",1,0),1),IF(OR($A278="",$D278="",$E278=""),0,_xlpm.dias*$I278*_xlpm.factor))</f>
        <v/>
      </c>
      <c r="P278" s="34">
        <f>_xlfn.LET(_xlpm.horas,J278,_xlpm.feriados,IF($H278="CO",FER_CO,FER_EC),_xlpm.capacidad,NETWORKDAYS(J$3,J$4,_xlpm.feriados)*INDEX(Consultores!$C$6:$C$65,MATCH($A278,Consultores!$A$6:$A$65,0)),IF(_xlpm.horas=0,"",IFERROR(_xlpm.horas/_xlpm.capacidad,"")))</f>
        <v/>
      </c>
      <c r="Q278" s="34">
        <f>_xlfn.LET(_xlpm.horas,K278,_xlpm.feriados,IF($H278="CO",FER_CO,FER_EC),_xlpm.capacidad,NETWORKDAYS(K$3,K$4,_xlpm.feriados)*INDEX(Consultores!$C$6:$C$65,MATCH($A278,Consultores!$A$6:$A$65,0)),IF(_xlpm.horas=0,"",IFERROR(_xlpm.horas/_xlpm.capacidad,"")))</f>
        <v/>
      </c>
      <c r="R278" s="34">
        <f>_xlfn.LET(_xlpm.horas,L278,_xlpm.feriados,IF($H278="CO",FER_CO,FER_EC),_xlpm.capacidad,NETWORKDAYS(L$3,L$4,_xlpm.feriados)*INDEX(Consultores!$C$6:$C$65,MATCH($A278,Consultores!$A$6:$A$65,0)),IF(_xlpm.horas=0,"",IFERROR(_xlpm.horas/_xlpm.capacidad,"")))</f>
        <v/>
      </c>
      <c r="S278" s="34">
        <f>_xlfn.LET(_xlpm.horas,M278,_xlpm.feriados,IF($H278="CO",FER_CO,FER_EC),_xlpm.capacidad,NETWORKDAYS(M$3,M$4,_xlpm.feriados)*INDEX(Consultores!$C$6:$C$65,MATCH($A278,Consultores!$A$6:$A$65,0)),IF(_xlpm.horas=0,"",IFERROR(_xlpm.horas/_xlpm.capacidad,"")))</f>
        <v/>
      </c>
      <c r="T278" s="34">
        <f>_xlfn.LET(_xlpm.horas,N278,_xlpm.feriados,IF($H278="CO",FER_CO,FER_EC),_xlpm.capacidad,NETWORKDAYS(N$3,N$4,_xlpm.feriados)*INDEX(Consultores!$C$6:$C$65,MATCH($A278,Consultores!$A$6:$A$65,0)),IF(_xlpm.horas=0,"",IFERROR(_xlpm.horas/_xlpm.capacidad,"")))</f>
        <v/>
      </c>
      <c r="U278" s="34">
        <f>_xlfn.LET(_xlpm.horas,O278,_xlpm.feriados,IF($H278="CO",FER_CO,FER_EC),_xlpm.capacidad,NETWORKDAYS(O$3,O$4,_xlpm.feriados)*INDEX(Consultores!$C$6:$C$65,MATCH($A278,Consultores!$A$6:$A$65,0)),IF(_xlpm.horas=0,"",IFERROR(_xlpm.horas/_xlpm.capacidad,"")))</f>
        <v/>
      </c>
    </row>
    <row r="279">
      <c r="A279" s="25" t="n"/>
      <c r="B279" s="25" t="n"/>
      <c r="C279" s="25" t="n"/>
      <c r="D279" s="30" t="n"/>
      <c r="E279" s="30" t="n"/>
      <c r="F279" s="26" t="n"/>
      <c r="G279" s="25" t="n"/>
      <c r="H279" s="31">
        <f>IF($A279="","",IFERROR(INDEX(Consultores!$B$6:$B$65,MATCH($A279,Consultores!$A$6:$A$65,0)),"No existe"))</f>
        <v/>
      </c>
      <c r="I279" s="32">
        <f>IF($F279="",0,$F279/5)</f>
        <v/>
      </c>
      <c r="J279" s="33">
        <f>_xlfn.LET(_xlpm.inicio,MAX($D279,J$3),_xlpm.fin,MIN($E279,J$4),_xlpm.feriados,IF($H279="CO",FER_CO,FER_EC),_xlpm.dias,IF(_xlpm.inicio&gt;_xlpm.fin,0,NETWORKDAYS(_xlpm.inicio,_xlpm.fin,_xlpm.feriados)),_xlpm.factor,IF($G279="Probable",IF(Parametros!$B$6="Sí",1,0),1),IF(OR($A279="",$D279="",$E279=""),0,_xlpm.dias*$I279*_xlpm.factor))</f>
        <v/>
      </c>
      <c r="K279" s="33">
        <f>_xlfn.LET(_xlpm.inicio,MAX($D279,K$3),_xlpm.fin,MIN($E279,K$4),_xlpm.feriados,IF($H279="CO",FER_CO,FER_EC),_xlpm.dias,IF(_xlpm.inicio&gt;_xlpm.fin,0,NETWORKDAYS(_xlpm.inicio,_xlpm.fin,_xlpm.feriados)),_xlpm.factor,IF($G279="Probable",IF(Parametros!$B$6="Sí",1,0),1),IF(OR($A279="",$D279="",$E279=""),0,_xlpm.dias*$I279*_xlpm.factor))</f>
        <v/>
      </c>
      <c r="L279" s="33">
        <f>_xlfn.LET(_xlpm.inicio,MAX($D279,L$3),_xlpm.fin,MIN($E279,L$4),_xlpm.feriados,IF($H279="CO",FER_CO,FER_EC),_xlpm.dias,IF(_xlpm.inicio&gt;_xlpm.fin,0,NETWORKDAYS(_xlpm.inicio,_xlpm.fin,_xlpm.feriados)),_xlpm.factor,IF($G279="Probable",IF(Parametros!$B$6="Sí",1,0),1),IF(OR($A279="",$D279="",$E279=""),0,_xlpm.dias*$I279*_xlpm.factor))</f>
        <v/>
      </c>
      <c r="M279" s="33">
        <f>_xlfn.LET(_xlpm.inicio,MAX($D279,M$3),_xlpm.fin,MIN($E279,M$4),_xlpm.feriados,IF($H279="CO",FER_CO,FER_EC),_xlpm.dias,IF(_xlpm.inicio&gt;_xlpm.fin,0,NETWORKDAYS(_xlpm.inicio,_xlpm.fin,_xlpm.feriados)),_xlpm.factor,IF($G279="Probable",IF(Parametros!$B$6="Sí",1,0),1),IF(OR($A279="",$D279="",$E279=""),0,_xlpm.dias*$I279*_xlpm.factor))</f>
        <v/>
      </c>
      <c r="N279" s="33">
        <f>_xlfn.LET(_xlpm.inicio,MAX($D279,N$3),_xlpm.fin,MIN($E279,N$4),_xlpm.feriados,IF($H279="CO",FER_CO,FER_EC),_xlpm.dias,IF(_xlpm.inicio&gt;_xlpm.fin,0,NETWORKDAYS(_xlpm.inicio,_xlpm.fin,_xlpm.feriados)),_xlpm.factor,IF($G279="Probable",IF(Parametros!$B$6="Sí",1,0),1),IF(OR($A279="",$D279="",$E279=""),0,_xlpm.dias*$I279*_xlpm.factor))</f>
        <v/>
      </c>
      <c r="O279" s="33">
        <f>_xlfn.LET(_xlpm.inicio,MAX($D279,O$3),_xlpm.fin,MIN($E279,O$4),_xlpm.feriados,IF($H279="CO",FER_CO,FER_EC),_xlpm.dias,IF(_xlpm.inicio&gt;_xlpm.fin,0,NETWORKDAYS(_xlpm.inicio,_xlpm.fin,_xlpm.feriados)),_xlpm.factor,IF($G279="Probable",IF(Parametros!$B$6="Sí",1,0),1),IF(OR($A279="",$D279="",$E279=""),0,_xlpm.dias*$I279*_xlpm.factor))</f>
        <v/>
      </c>
      <c r="P279" s="34">
        <f>_xlfn.LET(_xlpm.horas,J279,_xlpm.feriados,IF($H279="CO",FER_CO,FER_EC),_xlpm.capacidad,NETWORKDAYS(J$3,J$4,_xlpm.feriados)*INDEX(Consultores!$C$6:$C$65,MATCH($A279,Consultores!$A$6:$A$65,0)),IF(_xlpm.horas=0,"",IFERROR(_xlpm.horas/_xlpm.capacidad,"")))</f>
        <v/>
      </c>
      <c r="Q279" s="34">
        <f>_xlfn.LET(_xlpm.horas,K279,_xlpm.feriados,IF($H279="CO",FER_CO,FER_EC),_xlpm.capacidad,NETWORKDAYS(K$3,K$4,_xlpm.feriados)*INDEX(Consultores!$C$6:$C$65,MATCH($A279,Consultores!$A$6:$A$65,0)),IF(_xlpm.horas=0,"",IFERROR(_xlpm.horas/_xlpm.capacidad,"")))</f>
        <v/>
      </c>
      <c r="R279" s="34">
        <f>_xlfn.LET(_xlpm.horas,L279,_xlpm.feriados,IF($H279="CO",FER_CO,FER_EC),_xlpm.capacidad,NETWORKDAYS(L$3,L$4,_xlpm.feriados)*INDEX(Consultores!$C$6:$C$65,MATCH($A279,Consultores!$A$6:$A$65,0)),IF(_xlpm.horas=0,"",IFERROR(_xlpm.horas/_xlpm.capacidad,"")))</f>
        <v/>
      </c>
      <c r="S279" s="34">
        <f>_xlfn.LET(_xlpm.horas,M279,_xlpm.feriados,IF($H279="CO",FER_CO,FER_EC),_xlpm.capacidad,NETWORKDAYS(M$3,M$4,_xlpm.feriados)*INDEX(Consultores!$C$6:$C$65,MATCH($A279,Consultores!$A$6:$A$65,0)),IF(_xlpm.horas=0,"",IFERROR(_xlpm.horas/_xlpm.capacidad,"")))</f>
        <v/>
      </c>
      <c r="T279" s="34">
        <f>_xlfn.LET(_xlpm.horas,N279,_xlpm.feriados,IF($H279="CO",FER_CO,FER_EC),_xlpm.capacidad,NETWORKDAYS(N$3,N$4,_xlpm.feriados)*INDEX(Consultores!$C$6:$C$65,MATCH($A279,Consultores!$A$6:$A$65,0)),IF(_xlpm.horas=0,"",IFERROR(_xlpm.horas/_xlpm.capacidad,"")))</f>
        <v/>
      </c>
      <c r="U279" s="34">
        <f>_xlfn.LET(_xlpm.horas,O279,_xlpm.feriados,IF($H279="CO",FER_CO,FER_EC),_xlpm.capacidad,NETWORKDAYS(O$3,O$4,_xlpm.feriados)*INDEX(Consultores!$C$6:$C$65,MATCH($A279,Consultores!$A$6:$A$65,0)),IF(_xlpm.horas=0,"",IFERROR(_xlpm.horas/_xlpm.capacidad,"")))</f>
        <v/>
      </c>
    </row>
    <row r="280">
      <c r="A280" s="25" t="n"/>
      <c r="B280" s="25" t="n"/>
      <c r="C280" s="25" t="n"/>
      <c r="D280" s="30" t="n"/>
      <c r="E280" s="30" t="n"/>
      <c r="F280" s="26" t="n"/>
      <c r="G280" s="25" t="n"/>
      <c r="H280" s="31">
        <f>IF($A280="","",IFERROR(INDEX(Consultores!$B$6:$B$65,MATCH($A280,Consultores!$A$6:$A$65,0)),"No existe"))</f>
        <v/>
      </c>
      <c r="I280" s="32">
        <f>IF($F280="",0,$F280/5)</f>
        <v/>
      </c>
      <c r="J280" s="33">
        <f>_xlfn.LET(_xlpm.inicio,MAX($D280,J$3),_xlpm.fin,MIN($E280,J$4),_xlpm.feriados,IF($H280="CO",FER_CO,FER_EC),_xlpm.dias,IF(_xlpm.inicio&gt;_xlpm.fin,0,NETWORKDAYS(_xlpm.inicio,_xlpm.fin,_xlpm.feriados)),_xlpm.factor,IF($G280="Probable",IF(Parametros!$B$6="Sí",1,0),1),IF(OR($A280="",$D280="",$E280=""),0,_xlpm.dias*$I280*_xlpm.factor))</f>
        <v/>
      </c>
      <c r="K280" s="33">
        <f>_xlfn.LET(_xlpm.inicio,MAX($D280,K$3),_xlpm.fin,MIN($E280,K$4),_xlpm.feriados,IF($H280="CO",FER_CO,FER_EC),_xlpm.dias,IF(_xlpm.inicio&gt;_xlpm.fin,0,NETWORKDAYS(_xlpm.inicio,_xlpm.fin,_xlpm.feriados)),_xlpm.factor,IF($G280="Probable",IF(Parametros!$B$6="Sí",1,0),1),IF(OR($A280="",$D280="",$E280=""),0,_xlpm.dias*$I280*_xlpm.factor))</f>
        <v/>
      </c>
      <c r="L280" s="33">
        <f>_xlfn.LET(_xlpm.inicio,MAX($D280,L$3),_xlpm.fin,MIN($E280,L$4),_xlpm.feriados,IF($H280="CO",FER_CO,FER_EC),_xlpm.dias,IF(_xlpm.inicio&gt;_xlpm.fin,0,NETWORKDAYS(_xlpm.inicio,_xlpm.fin,_xlpm.feriados)),_xlpm.factor,IF($G280="Probable",IF(Parametros!$B$6="Sí",1,0),1),IF(OR($A280="",$D280="",$E280=""),0,_xlpm.dias*$I280*_xlpm.factor))</f>
        <v/>
      </c>
      <c r="M280" s="33">
        <f>_xlfn.LET(_xlpm.inicio,MAX($D280,M$3),_xlpm.fin,MIN($E280,M$4),_xlpm.feriados,IF($H280="CO",FER_CO,FER_EC),_xlpm.dias,IF(_xlpm.inicio&gt;_xlpm.fin,0,NETWORKDAYS(_xlpm.inicio,_xlpm.fin,_xlpm.feriados)),_xlpm.factor,IF($G280="Probable",IF(Parametros!$B$6="Sí",1,0),1),IF(OR($A280="",$D280="",$E280=""),0,_xlpm.dias*$I280*_xlpm.factor))</f>
        <v/>
      </c>
      <c r="N280" s="33">
        <f>_xlfn.LET(_xlpm.inicio,MAX($D280,N$3),_xlpm.fin,MIN($E280,N$4),_xlpm.feriados,IF($H280="CO",FER_CO,FER_EC),_xlpm.dias,IF(_xlpm.inicio&gt;_xlpm.fin,0,NETWORKDAYS(_xlpm.inicio,_xlpm.fin,_xlpm.feriados)),_xlpm.factor,IF($G280="Probable",IF(Parametros!$B$6="Sí",1,0),1),IF(OR($A280="",$D280="",$E280=""),0,_xlpm.dias*$I280*_xlpm.factor))</f>
        <v/>
      </c>
      <c r="O280" s="33">
        <f>_xlfn.LET(_xlpm.inicio,MAX($D280,O$3),_xlpm.fin,MIN($E280,O$4),_xlpm.feriados,IF($H280="CO",FER_CO,FER_EC),_xlpm.dias,IF(_xlpm.inicio&gt;_xlpm.fin,0,NETWORKDAYS(_xlpm.inicio,_xlpm.fin,_xlpm.feriados)),_xlpm.factor,IF($G280="Probable",IF(Parametros!$B$6="Sí",1,0),1),IF(OR($A280="",$D280="",$E280=""),0,_xlpm.dias*$I280*_xlpm.factor))</f>
        <v/>
      </c>
      <c r="P280" s="34">
        <f>_xlfn.LET(_xlpm.horas,J280,_xlpm.feriados,IF($H280="CO",FER_CO,FER_EC),_xlpm.capacidad,NETWORKDAYS(J$3,J$4,_xlpm.feriados)*INDEX(Consultores!$C$6:$C$65,MATCH($A280,Consultores!$A$6:$A$65,0)),IF(_xlpm.horas=0,"",IFERROR(_xlpm.horas/_xlpm.capacidad,"")))</f>
        <v/>
      </c>
      <c r="Q280" s="34">
        <f>_xlfn.LET(_xlpm.horas,K280,_xlpm.feriados,IF($H280="CO",FER_CO,FER_EC),_xlpm.capacidad,NETWORKDAYS(K$3,K$4,_xlpm.feriados)*INDEX(Consultores!$C$6:$C$65,MATCH($A280,Consultores!$A$6:$A$65,0)),IF(_xlpm.horas=0,"",IFERROR(_xlpm.horas/_xlpm.capacidad,"")))</f>
        <v/>
      </c>
      <c r="R280" s="34">
        <f>_xlfn.LET(_xlpm.horas,L280,_xlpm.feriados,IF($H280="CO",FER_CO,FER_EC),_xlpm.capacidad,NETWORKDAYS(L$3,L$4,_xlpm.feriados)*INDEX(Consultores!$C$6:$C$65,MATCH($A280,Consultores!$A$6:$A$65,0)),IF(_xlpm.horas=0,"",IFERROR(_xlpm.horas/_xlpm.capacidad,"")))</f>
        <v/>
      </c>
      <c r="S280" s="34">
        <f>_xlfn.LET(_xlpm.horas,M280,_xlpm.feriados,IF($H280="CO",FER_CO,FER_EC),_xlpm.capacidad,NETWORKDAYS(M$3,M$4,_xlpm.feriados)*INDEX(Consultores!$C$6:$C$65,MATCH($A280,Consultores!$A$6:$A$65,0)),IF(_xlpm.horas=0,"",IFERROR(_xlpm.horas/_xlpm.capacidad,"")))</f>
        <v/>
      </c>
      <c r="T280" s="34">
        <f>_xlfn.LET(_xlpm.horas,N280,_xlpm.feriados,IF($H280="CO",FER_CO,FER_EC),_xlpm.capacidad,NETWORKDAYS(N$3,N$4,_xlpm.feriados)*INDEX(Consultores!$C$6:$C$65,MATCH($A280,Consultores!$A$6:$A$65,0)),IF(_xlpm.horas=0,"",IFERROR(_xlpm.horas/_xlpm.capacidad,"")))</f>
        <v/>
      </c>
      <c r="U280" s="34">
        <f>_xlfn.LET(_xlpm.horas,O280,_xlpm.feriados,IF($H280="CO",FER_CO,FER_EC),_xlpm.capacidad,NETWORKDAYS(O$3,O$4,_xlpm.feriados)*INDEX(Consultores!$C$6:$C$65,MATCH($A280,Consultores!$A$6:$A$65,0)),IF(_xlpm.horas=0,"",IFERROR(_xlpm.horas/_xlpm.capacidad,"")))</f>
        <v/>
      </c>
    </row>
    <row r="281">
      <c r="A281" s="25" t="n"/>
      <c r="B281" s="25" t="n"/>
      <c r="C281" s="25" t="n"/>
      <c r="D281" s="30" t="n"/>
      <c r="E281" s="30" t="n"/>
      <c r="F281" s="26" t="n"/>
      <c r="G281" s="25" t="n"/>
      <c r="H281" s="31">
        <f>IF($A281="","",IFERROR(INDEX(Consultores!$B$6:$B$65,MATCH($A281,Consultores!$A$6:$A$65,0)),"No existe"))</f>
        <v/>
      </c>
      <c r="I281" s="32">
        <f>IF($F281="",0,$F281/5)</f>
        <v/>
      </c>
      <c r="J281" s="33">
        <f>_xlfn.LET(_xlpm.inicio,MAX($D281,J$3),_xlpm.fin,MIN($E281,J$4),_xlpm.feriados,IF($H281="CO",FER_CO,FER_EC),_xlpm.dias,IF(_xlpm.inicio&gt;_xlpm.fin,0,NETWORKDAYS(_xlpm.inicio,_xlpm.fin,_xlpm.feriados)),_xlpm.factor,IF($G281="Probable",IF(Parametros!$B$6="Sí",1,0),1),IF(OR($A281="",$D281="",$E281=""),0,_xlpm.dias*$I281*_xlpm.factor))</f>
        <v/>
      </c>
      <c r="K281" s="33">
        <f>_xlfn.LET(_xlpm.inicio,MAX($D281,K$3),_xlpm.fin,MIN($E281,K$4),_xlpm.feriados,IF($H281="CO",FER_CO,FER_EC),_xlpm.dias,IF(_xlpm.inicio&gt;_xlpm.fin,0,NETWORKDAYS(_xlpm.inicio,_xlpm.fin,_xlpm.feriados)),_xlpm.factor,IF($G281="Probable",IF(Parametros!$B$6="Sí",1,0),1),IF(OR($A281="",$D281="",$E281=""),0,_xlpm.dias*$I281*_xlpm.factor))</f>
        <v/>
      </c>
      <c r="L281" s="33">
        <f>_xlfn.LET(_xlpm.inicio,MAX($D281,L$3),_xlpm.fin,MIN($E281,L$4),_xlpm.feriados,IF($H281="CO",FER_CO,FER_EC),_xlpm.dias,IF(_xlpm.inicio&gt;_xlpm.fin,0,NETWORKDAYS(_xlpm.inicio,_xlpm.fin,_xlpm.feriados)),_xlpm.factor,IF($G281="Probable",IF(Parametros!$B$6="Sí",1,0),1),IF(OR($A281="",$D281="",$E281=""),0,_xlpm.dias*$I281*_xlpm.factor))</f>
        <v/>
      </c>
      <c r="M281" s="33">
        <f>_xlfn.LET(_xlpm.inicio,MAX($D281,M$3),_xlpm.fin,MIN($E281,M$4),_xlpm.feriados,IF($H281="CO",FER_CO,FER_EC),_xlpm.dias,IF(_xlpm.inicio&gt;_xlpm.fin,0,NETWORKDAYS(_xlpm.inicio,_xlpm.fin,_xlpm.feriados)),_xlpm.factor,IF($G281="Probable",IF(Parametros!$B$6="Sí",1,0),1),IF(OR($A281="",$D281="",$E281=""),0,_xlpm.dias*$I281*_xlpm.factor))</f>
        <v/>
      </c>
      <c r="N281" s="33">
        <f>_xlfn.LET(_xlpm.inicio,MAX($D281,N$3),_xlpm.fin,MIN($E281,N$4),_xlpm.feriados,IF($H281="CO",FER_CO,FER_EC),_xlpm.dias,IF(_xlpm.inicio&gt;_xlpm.fin,0,NETWORKDAYS(_xlpm.inicio,_xlpm.fin,_xlpm.feriados)),_xlpm.factor,IF($G281="Probable",IF(Parametros!$B$6="Sí",1,0),1),IF(OR($A281="",$D281="",$E281=""),0,_xlpm.dias*$I281*_xlpm.factor))</f>
        <v/>
      </c>
      <c r="O281" s="33">
        <f>_xlfn.LET(_xlpm.inicio,MAX($D281,O$3),_xlpm.fin,MIN($E281,O$4),_xlpm.feriados,IF($H281="CO",FER_CO,FER_EC),_xlpm.dias,IF(_xlpm.inicio&gt;_xlpm.fin,0,NETWORKDAYS(_xlpm.inicio,_xlpm.fin,_xlpm.feriados)),_xlpm.factor,IF($G281="Probable",IF(Parametros!$B$6="Sí",1,0),1),IF(OR($A281="",$D281="",$E281=""),0,_xlpm.dias*$I281*_xlpm.factor))</f>
        <v/>
      </c>
      <c r="P281" s="34">
        <f>_xlfn.LET(_xlpm.horas,J281,_xlpm.feriados,IF($H281="CO",FER_CO,FER_EC),_xlpm.capacidad,NETWORKDAYS(J$3,J$4,_xlpm.feriados)*INDEX(Consultores!$C$6:$C$65,MATCH($A281,Consultores!$A$6:$A$65,0)),IF(_xlpm.horas=0,"",IFERROR(_xlpm.horas/_xlpm.capacidad,"")))</f>
        <v/>
      </c>
      <c r="Q281" s="34">
        <f>_xlfn.LET(_xlpm.horas,K281,_xlpm.feriados,IF($H281="CO",FER_CO,FER_EC),_xlpm.capacidad,NETWORKDAYS(K$3,K$4,_xlpm.feriados)*INDEX(Consultores!$C$6:$C$65,MATCH($A281,Consultores!$A$6:$A$65,0)),IF(_xlpm.horas=0,"",IFERROR(_xlpm.horas/_xlpm.capacidad,"")))</f>
        <v/>
      </c>
      <c r="R281" s="34">
        <f>_xlfn.LET(_xlpm.horas,L281,_xlpm.feriados,IF($H281="CO",FER_CO,FER_EC),_xlpm.capacidad,NETWORKDAYS(L$3,L$4,_xlpm.feriados)*INDEX(Consultores!$C$6:$C$65,MATCH($A281,Consultores!$A$6:$A$65,0)),IF(_xlpm.horas=0,"",IFERROR(_xlpm.horas/_xlpm.capacidad,"")))</f>
        <v/>
      </c>
      <c r="S281" s="34">
        <f>_xlfn.LET(_xlpm.horas,M281,_xlpm.feriados,IF($H281="CO",FER_CO,FER_EC),_xlpm.capacidad,NETWORKDAYS(M$3,M$4,_xlpm.feriados)*INDEX(Consultores!$C$6:$C$65,MATCH($A281,Consultores!$A$6:$A$65,0)),IF(_xlpm.horas=0,"",IFERROR(_xlpm.horas/_xlpm.capacidad,"")))</f>
        <v/>
      </c>
      <c r="T281" s="34">
        <f>_xlfn.LET(_xlpm.horas,N281,_xlpm.feriados,IF($H281="CO",FER_CO,FER_EC),_xlpm.capacidad,NETWORKDAYS(N$3,N$4,_xlpm.feriados)*INDEX(Consultores!$C$6:$C$65,MATCH($A281,Consultores!$A$6:$A$65,0)),IF(_xlpm.horas=0,"",IFERROR(_xlpm.horas/_xlpm.capacidad,"")))</f>
        <v/>
      </c>
      <c r="U281" s="34">
        <f>_xlfn.LET(_xlpm.horas,O281,_xlpm.feriados,IF($H281="CO",FER_CO,FER_EC),_xlpm.capacidad,NETWORKDAYS(O$3,O$4,_xlpm.feriados)*INDEX(Consultores!$C$6:$C$65,MATCH($A281,Consultores!$A$6:$A$65,0)),IF(_xlpm.horas=0,"",IFERROR(_xlpm.horas/_xlpm.capacidad,"")))</f>
        <v/>
      </c>
    </row>
    <row r="282">
      <c r="A282" s="25" t="n"/>
      <c r="B282" s="25" t="n"/>
      <c r="C282" s="25" t="n"/>
      <c r="D282" s="30" t="n"/>
      <c r="E282" s="30" t="n"/>
      <c r="F282" s="26" t="n"/>
      <c r="G282" s="25" t="n"/>
      <c r="H282" s="31">
        <f>IF($A282="","",IFERROR(INDEX(Consultores!$B$6:$B$65,MATCH($A282,Consultores!$A$6:$A$65,0)),"No existe"))</f>
        <v/>
      </c>
      <c r="I282" s="32">
        <f>IF($F282="",0,$F282/5)</f>
        <v/>
      </c>
      <c r="J282" s="33">
        <f>_xlfn.LET(_xlpm.inicio,MAX($D282,J$3),_xlpm.fin,MIN($E282,J$4),_xlpm.feriados,IF($H282="CO",FER_CO,FER_EC),_xlpm.dias,IF(_xlpm.inicio&gt;_xlpm.fin,0,NETWORKDAYS(_xlpm.inicio,_xlpm.fin,_xlpm.feriados)),_xlpm.factor,IF($G282="Probable",IF(Parametros!$B$6="Sí",1,0),1),IF(OR($A282="",$D282="",$E282=""),0,_xlpm.dias*$I282*_xlpm.factor))</f>
        <v/>
      </c>
      <c r="K282" s="33">
        <f>_xlfn.LET(_xlpm.inicio,MAX($D282,K$3),_xlpm.fin,MIN($E282,K$4),_xlpm.feriados,IF($H282="CO",FER_CO,FER_EC),_xlpm.dias,IF(_xlpm.inicio&gt;_xlpm.fin,0,NETWORKDAYS(_xlpm.inicio,_xlpm.fin,_xlpm.feriados)),_xlpm.factor,IF($G282="Probable",IF(Parametros!$B$6="Sí",1,0),1),IF(OR($A282="",$D282="",$E282=""),0,_xlpm.dias*$I282*_xlpm.factor))</f>
        <v/>
      </c>
      <c r="L282" s="33">
        <f>_xlfn.LET(_xlpm.inicio,MAX($D282,L$3),_xlpm.fin,MIN($E282,L$4),_xlpm.feriados,IF($H282="CO",FER_CO,FER_EC),_xlpm.dias,IF(_xlpm.inicio&gt;_xlpm.fin,0,NETWORKDAYS(_xlpm.inicio,_xlpm.fin,_xlpm.feriados)),_xlpm.factor,IF($G282="Probable",IF(Parametros!$B$6="Sí",1,0),1),IF(OR($A282="",$D282="",$E282=""),0,_xlpm.dias*$I282*_xlpm.factor))</f>
        <v/>
      </c>
      <c r="M282" s="33">
        <f>_xlfn.LET(_xlpm.inicio,MAX($D282,M$3),_xlpm.fin,MIN($E282,M$4),_xlpm.feriados,IF($H282="CO",FER_CO,FER_EC),_xlpm.dias,IF(_xlpm.inicio&gt;_xlpm.fin,0,NETWORKDAYS(_xlpm.inicio,_xlpm.fin,_xlpm.feriados)),_xlpm.factor,IF($G282="Probable",IF(Parametros!$B$6="Sí",1,0),1),IF(OR($A282="",$D282="",$E282=""),0,_xlpm.dias*$I282*_xlpm.factor))</f>
        <v/>
      </c>
      <c r="N282" s="33">
        <f>_xlfn.LET(_xlpm.inicio,MAX($D282,N$3),_xlpm.fin,MIN($E282,N$4),_xlpm.feriados,IF($H282="CO",FER_CO,FER_EC),_xlpm.dias,IF(_xlpm.inicio&gt;_xlpm.fin,0,NETWORKDAYS(_xlpm.inicio,_xlpm.fin,_xlpm.feriados)),_xlpm.factor,IF($G282="Probable",IF(Parametros!$B$6="Sí",1,0),1),IF(OR($A282="",$D282="",$E282=""),0,_xlpm.dias*$I282*_xlpm.factor))</f>
        <v/>
      </c>
      <c r="O282" s="33">
        <f>_xlfn.LET(_xlpm.inicio,MAX($D282,O$3),_xlpm.fin,MIN($E282,O$4),_xlpm.feriados,IF($H282="CO",FER_CO,FER_EC),_xlpm.dias,IF(_xlpm.inicio&gt;_xlpm.fin,0,NETWORKDAYS(_xlpm.inicio,_xlpm.fin,_xlpm.feriados)),_xlpm.factor,IF($G282="Probable",IF(Parametros!$B$6="Sí",1,0),1),IF(OR($A282="",$D282="",$E282=""),0,_xlpm.dias*$I282*_xlpm.factor))</f>
        <v/>
      </c>
      <c r="P282" s="34">
        <f>_xlfn.LET(_xlpm.horas,J282,_xlpm.feriados,IF($H282="CO",FER_CO,FER_EC),_xlpm.capacidad,NETWORKDAYS(J$3,J$4,_xlpm.feriados)*INDEX(Consultores!$C$6:$C$65,MATCH($A282,Consultores!$A$6:$A$65,0)),IF(_xlpm.horas=0,"",IFERROR(_xlpm.horas/_xlpm.capacidad,"")))</f>
        <v/>
      </c>
      <c r="Q282" s="34">
        <f>_xlfn.LET(_xlpm.horas,K282,_xlpm.feriados,IF($H282="CO",FER_CO,FER_EC),_xlpm.capacidad,NETWORKDAYS(K$3,K$4,_xlpm.feriados)*INDEX(Consultores!$C$6:$C$65,MATCH($A282,Consultores!$A$6:$A$65,0)),IF(_xlpm.horas=0,"",IFERROR(_xlpm.horas/_xlpm.capacidad,"")))</f>
        <v/>
      </c>
      <c r="R282" s="34">
        <f>_xlfn.LET(_xlpm.horas,L282,_xlpm.feriados,IF($H282="CO",FER_CO,FER_EC),_xlpm.capacidad,NETWORKDAYS(L$3,L$4,_xlpm.feriados)*INDEX(Consultores!$C$6:$C$65,MATCH($A282,Consultores!$A$6:$A$65,0)),IF(_xlpm.horas=0,"",IFERROR(_xlpm.horas/_xlpm.capacidad,"")))</f>
        <v/>
      </c>
      <c r="S282" s="34">
        <f>_xlfn.LET(_xlpm.horas,M282,_xlpm.feriados,IF($H282="CO",FER_CO,FER_EC),_xlpm.capacidad,NETWORKDAYS(M$3,M$4,_xlpm.feriados)*INDEX(Consultores!$C$6:$C$65,MATCH($A282,Consultores!$A$6:$A$65,0)),IF(_xlpm.horas=0,"",IFERROR(_xlpm.horas/_xlpm.capacidad,"")))</f>
        <v/>
      </c>
      <c r="T282" s="34">
        <f>_xlfn.LET(_xlpm.horas,N282,_xlpm.feriados,IF($H282="CO",FER_CO,FER_EC),_xlpm.capacidad,NETWORKDAYS(N$3,N$4,_xlpm.feriados)*INDEX(Consultores!$C$6:$C$65,MATCH($A282,Consultores!$A$6:$A$65,0)),IF(_xlpm.horas=0,"",IFERROR(_xlpm.horas/_xlpm.capacidad,"")))</f>
        <v/>
      </c>
      <c r="U282" s="34">
        <f>_xlfn.LET(_xlpm.horas,O282,_xlpm.feriados,IF($H282="CO",FER_CO,FER_EC),_xlpm.capacidad,NETWORKDAYS(O$3,O$4,_xlpm.feriados)*INDEX(Consultores!$C$6:$C$65,MATCH($A282,Consultores!$A$6:$A$65,0)),IF(_xlpm.horas=0,"",IFERROR(_xlpm.horas/_xlpm.capacidad,"")))</f>
        <v/>
      </c>
    </row>
    <row r="283">
      <c r="A283" s="25" t="n"/>
      <c r="B283" s="25" t="n"/>
      <c r="C283" s="25" t="n"/>
      <c r="D283" s="30" t="n"/>
      <c r="E283" s="30" t="n"/>
      <c r="F283" s="26" t="n"/>
      <c r="G283" s="25" t="n"/>
      <c r="H283" s="31">
        <f>IF($A283="","",IFERROR(INDEX(Consultores!$B$6:$B$65,MATCH($A283,Consultores!$A$6:$A$65,0)),"No existe"))</f>
        <v/>
      </c>
      <c r="I283" s="32">
        <f>IF($F283="",0,$F283/5)</f>
        <v/>
      </c>
      <c r="J283" s="33">
        <f>_xlfn.LET(_xlpm.inicio,MAX($D283,J$3),_xlpm.fin,MIN($E283,J$4),_xlpm.feriados,IF($H283="CO",FER_CO,FER_EC),_xlpm.dias,IF(_xlpm.inicio&gt;_xlpm.fin,0,NETWORKDAYS(_xlpm.inicio,_xlpm.fin,_xlpm.feriados)),_xlpm.factor,IF($G283="Probable",IF(Parametros!$B$6="Sí",1,0),1),IF(OR($A283="",$D283="",$E283=""),0,_xlpm.dias*$I283*_xlpm.factor))</f>
        <v/>
      </c>
      <c r="K283" s="33">
        <f>_xlfn.LET(_xlpm.inicio,MAX($D283,K$3),_xlpm.fin,MIN($E283,K$4),_xlpm.feriados,IF($H283="CO",FER_CO,FER_EC),_xlpm.dias,IF(_xlpm.inicio&gt;_xlpm.fin,0,NETWORKDAYS(_xlpm.inicio,_xlpm.fin,_xlpm.feriados)),_xlpm.factor,IF($G283="Probable",IF(Parametros!$B$6="Sí",1,0),1),IF(OR($A283="",$D283="",$E283=""),0,_xlpm.dias*$I283*_xlpm.factor))</f>
        <v/>
      </c>
      <c r="L283" s="33">
        <f>_xlfn.LET(_xlpm.inicio,MAX($D283,L$3),_xlpm.fin,MIN($E283,L$4),_xlpm.feriados,IF($H283="CO",FER_CO,FER_EC),_xlpm.dias,IF(_xlpm.inicio&gt;_xlpm.fin,0,NETWORKDAYS(_xlpm.inicio,_xlpm.fin,_xlpm.feriados)),_xlpm.factor,IF($G283="Probable",IF(Parametros!$B$6="Sí",1,0),1),IF(OR($A283="",$D283="",$E283=""),0,_xlpm.dias*$I283*_xlpm.factor))</f>
        <v/>
      </c>
      <c r="M283" s="33">
        <f>_xlfn.LET(_xlpm.inicio,MAX($D283,M$3),_xlpm.fin,MIN($E283,M$4),_xlpm.feriados,IF($H283="CO",FER_CO,FER_EC),_xlpm.dias,IF(_xlpm.inicio&gt;_xlpm.fin,0,NETWORKDAYS(_xlpm.inicio,_xlpm.fin,_xlpm.feriados)),_xlpm.factor,IF($G283="Probable",IF(Parametros!$B$6="Sí",1,0),1),IF(OR($A283="",$D283="",$E283=""),0,_xlpm.dias*$I283*_xlpm.factor))</f>
        <v/>
      </c>
      <c r="N283" s="33">
        <f>_xlfn.LET(_xlpm.inicio,MAX($D283,N$3),_xlpm.fin,MIN($E283,N$4),_xlpm.feriados,IF($H283="CO",FER_CO,FER_EC),_xlpm.dias,IF(_xlpm.inicio&gt;_xlpm.fin,0,NETWORKDAYS(_xlpm.inicio,_xlpm.fin,_xlpm.feriados)),_xlpm.factor,IF($G283="Probable",IF(Parametros!$B$6="Sí",1,0),1),IF(OR($A283="",$D283="",$E283=""),0,_xlpm.dias*$I283*_xlpm.factor))</f>
        <v/>
      </c>
      <c r="O283" s="33">
        <f>_xlfn.LET(_xlpm.inicio,MAX($D283,O$3),_xlpm.fin,MIN($E283,O$4),_xlpm.feriados,IF($H283="CO",FER_CO,FER_EC),_xlpm.dias,IF(_xlpm.inicio&gt;_xlpm.fin,0,NETWORKDAYS(_xlpm.inicio,_xlpm.fin,_xlpm.feriados)),_xlpm.factor,IF($G283="Probable",IF(Parametros!$B$6="Sí",1,0),1),IF(OR($A283="",$D283="",$E283=""),0,_xlpm.dias*$I283*_xlpm.factor))</f>
        <v/>
      </c>
      <c r="P283" s="34">
        <f>_xlfn.LET(_xlpm.horas,J283,_xlpm.feriados,IF($H283="CO",FER_CO,FER_EC),_xlpm.capacidad,NETWORKDAYS(J$3,J$4,_xlpm.feriados)*INDEX(Consultores!$C$6:$C$65,MATCH($A283,Consultores!$A$6:$A$65,0)),IF(_xlpm.horas=0,"",IFERROR(_xlpm.horas/_xlpm.capacidad,"")))</f>
        <v/>
      </c>
      <c r="Q283" s="34">
        <f>_xlfn.LET(_xlpm.horas,K283,_xlpm.feriados,IF($H283="CO",FER_CO,FER_EC),_xlpm.capacidad,NETWORKDAYS(K$3,K$4,_xlpm.feriados)*INDEX(Consultores!$C$6:$C$65,MATCH($A283,Consultores!$A$6:$A$65,0)),IF(_xlpm.horas=0,"",IFERROR(_xlpm.horas/_xlpm.capacidad,"")))</f>
        <v/>
      </c>
      <c r="R283" s="34">
        <f>_xlfn.LET(_xlpm.horas,L283,_xlpm.feriados,IF($H283="CO",FER_CO,FER_EC),_xlpm.capacidad,NETWORKDAYS(L$3,L$4,_xlpm.feriados)*INDEX(Consultores!$C$6:$C$65,MATCH($A283,Consultores!$A$6:$A$65,0)),IF(_xlpm.horas=0,"",IFERROR(_xlpm.horas/_xlpm.capacidad,"")))</f>
        <v/>
      </c>
      <c r="S283" s="34">
        <f>_xlfn.LET(_xlpm.horas,M283,_xlpm.feriados,IF($H283="CO",FER_CO,FER_EC),_xlpm.capacidad,NETWORKDAYS(M$3,M$4,_xlpm.feriados)*INDEX(Consultores!$C$6:$C$65,MATCH($A283,Consultores!$A$6:$A$65,0)),IF(_xlpm.horas=0,"",IFERROR(_xlpm.horas/_xlpm.capacidad,"")))</f>
        <v/>
      </c>
      <c r="T283" s="34">
        <f>_xlfn.LET(_xlpm.horas,N283,_xlpm.feriados,IF($H283="CO",FER_CO,FER_EC),_xlpm.capacidad,NETWORKDAYS(N$3,N$4,_xlpm.feriados)*INDEX(Consultores!$C$6:$C$65,MATCH($A283,Consultores!$A$6:$A$65,0)),IF(_xlpm.horas=0,"",IFERROR(_xlpm.horas/_xlpm.capacidad,"")))</f>
        <v/>
      </c>
      <c r="U283" s="34">
        <f>_xlfn.LET(_xlpm.horas,O283,_xlpm.feriados,IF($H283="CO",FER_CO,FER_EC),_xlpm.capacidad,NETWORKDAYS(O$3,O$4,_xlpm.feriados)*INDEX(Consultores!$C$6:$C$65,MATCH($A283,Consultores!$A$6:$A$65,0)),IF(_xlpm.horas=0,"",IFERROR(_xlpm.horas/_xlpm.capacidad,"")))</f>
        <v/>
      </c>
    </row>
    <row r="284">
      <c r="A284" s="25" t="n"/>
      <c r="B284" s="25" t="n"/>
      <c r="C284" s="25" t="n"/>
      <c r="D284" s="30" t="n"/>
      <c r="E284" s="30" t="n"/>
      <c r="F284" s="26" t="n"/>
      <c r="G284" s="25" t="n"/>
      <c r="H284" s="31">
        <f>IF($A284="","",IFERROR(INDEX(Consultores!$B$6:$B$65,MATCH($A284,Consultores!$A$6:$A$65,0)),"No existe"))</f>
        <v/>
      </c>
      <c r="I284" s="32">
        <f>IF($F284="",0,$F284/5)</f>
        <v/>
      </c>
      <c r="J284" s="33">
        <f>_xlfn.LET(_xlpm.inicio,MAX($D284,J$3),_xlpm.fin,MIN($E284,J$4),_xlpm.feriados,IF($H284="CO",FER_CO,FER_EC),_xlpm.dias,IF(_xlpm.inicio&gt;_xlpm.fin,0,NETWORKDAYS(_xlpm.inicio,_xlpm.fin,_xlpm.feriados)),_xlpm.factor,IF($G284="Probable",IF(Parametros!$B$6="Sí",1,0),1),IF(OR($A284="",$D284="",$E284=""),0,_xlpm.dias*$I284*_xlpm.factor))</f>
        <v/>
      </c>
      <c r="K284" s="33">
        <f>_xlfn.LET(_xlpm.inicio,MAX($D284,K$3),_xlpm.fin,MIN($E284,K$4),_xlpm.feriados,IF($H284="CO",FER_CO,FER_EC),_xlpm.dias,IF(_xlpm.inicio&gt;_xlpm.fin,0,NETWORKDAYS(_xlpm.inicio,_xlpm.fin,_xlpm.feriados)),_xlpm.factor,IF($G284="Probable",IF(Parametros!$B$6="Sí",1,0),1),IF(OR($A284="",$D284="",$E284=""),0,_xlpm.dias*$I284*_xlpm.factor))</f>
        <v/>
      </c>
      <c r="L284" s="33">
        <f>_xlfn.LET(_xlpm.inicio,MAX($D284,L$3),_xlpm.fin,MIN($E284,L$4),_xlpm.feriados,IF($H284="CO",FER_CO,FER_EC),_xlpm.dias,IF(_xlpm.inicio&gt;_xlpm.fin,0,NETWORKDAYS(_xlpm.inicio,_xlpm.fin,_xlpm.feriados)),_xlpm.factor,IF($G284="Probable",IF(Parametros!$B$6="Sí",1,0),1),IF(OR($A284="",$D284="",$E284=""),0,_xlpm.dias*$I284*_xlpm.factor))</f>
        <v/>
      </c>
      <c r="M284" s="33">
        <f>_xlfn.LET(_xlpm.inicio,MAX($D284,M$3),_xlpm.fin,MIN($E284,M$4),_xlpm.feriados,IF($H284="CO",FER_CO,FER_EC),_xlpm.dias,IF(_xlpm.inicio&gt;_xlpm.fin,0,NETWORKDAYS(_xlpm.inicio,_xlpm.fin,_xlpm.feriados)),_xlpm.factor,IF($G284="Probable",IF(Parametros!$B$6="Sí",1,0),1),IF(OR($A284="",$D284="",$E284=""),0,_xlpm.dias*$I284*_xlpm.factor))</f>
        <v/>
      </c>
      <c r="N284" s="33">
        <f>_xlfn.LET(_xlpm.inicio,MAX($D284,N$3),_xlpm.fin,MIN($E284,N$4),_xlpm.feriados,IF($H284="CO",FER_CO,FER_EC),_xlpm.dias,IF(_xlpm.inicio&gt;_xlpm.fin,0,NETWORKDAYS(_xlpm.inicio,_xlpm.fin,_xlpm.feriados)),_xlpm.factor,IF($G284="Probable",IF(Parametros!$B$6="Sí",1,0),1),IF(OR($A284="",$D284="",$E284=""),0,_xlpm.dias*$I284*_xlpm.factor))</f>
        <v/>
      </c>
      <c r="O284" s="33">
        <f>_xlfn.LET(_xlpm.inicio,MAX($D284,O$3),_xlpm.fin,MIN($E284,O$4),_xlpm.feriados,IF($H284="CO",FER_CO,FER_EC),_xlpm.dias,IF(_xlpm.inicio&gt;_xlpm.fin,0,NETWORKDAYS(_xlpm.inicio,_xlpm.fin,_xlpm.feriados)),_xlpm.factor,IF($G284="Probable",IF(Parametros!$B$6="Sí",1,0),1),IF(OR($A284="",$D284="",$E284=""),0,_xlpm.dias*$I284*_xlpm.factor))</f>
        <v/>
      </c>
      <c r="P284" s="34">
        <f>_xlfn.LET(_xlpm.horas,J284,_xlpm.feriados,IF($H284="CO",FER_CO,FER_EC),_xlpm.capacidad,NETWORKDAYS(J$3,J$4,_xlpm.feriados)*INDEX(Consultores!$C$6:$C$65,MATCH($A284,Consultores!$A$6:$A$65,0)),IF(_xlpm.horas=0,"",IFERROR(_xlpm.horas/_xlpm.capacidad,"")))</f>
        <v/>
      </c>
      <c r="Q284" s="34">
        <f>_xlfn.LET(_xlpm.horas,K284,_xlpm.feriados,IF($H284="CO",FER_CO,FER_EC),_xlpm.capacidad,NETWORKDAYS(K$3,K$4,_xlpm.feriados)*INDEX(Consultores!$C$6:$C$65,MATCH($A284,Consultores!$A$6:$A$65,0)),IF(_xlpm.horas=0,"",IFERROR(_xlpm.horas/_xlpm.capacidad,"")))</f>
        <v/>
      </c>
      <c r="R284" s="34">
        <f>_xlfn.LET(_xlpm.horas,L284,_xlpm.feriados,IF($H284="CO",FER_CO,FER_EC),_xlpm.capacidad,NETWORKDAYS(L$3,L$4,_xlpm.feriados)*INDEX(Consultores!$C$6:$C$65,MATCH($A284,Consultores!$A$6:$A$65,0)),IF(_xlpm.horas=0,"",IFERROR(_xlpm.horas/_xlpm.capacidad,"")))</f>
        <v/>
      </c>
      <c r="S284" s="34">
        <f>_xlfn.LET(_xlpm.horas,M284,_xlpm.feriados,IF($H284="CO",FER_CO,FER_EC),_xlpm.capacidad,NETWORKDAYS(M$3,M$4,_xlpm.feriados)*INDEX(Consultores!$C$6:$C$65,MATCH($A284,Consultores!$A$6:$A$65,0)),IF(_xlpm.horas=0,"",IFERROR(_xlpm.horas/_xlpm.capacidad,"")))</f>
        <v/>
      </c>
      <c r="T284" s="34">
        <f>_xlfn.LET(_xlpm.horas,N284,_xlpm.feriados,IF($H284="CO",FER_CO,FER_EC),_xlpm.capacidad,NETWORKDAYS(N$3,N$4,_xlpm.feriados)*INDEX(Consultores!$C$6:$C$65,MATCH($A284,Consultores!$A$6:$A$65,0)),IF(_xlpm.horas=0,"",IFERROR(_xlpm.horas/_xlpm.capacidad,"")))</f>
        <v/>
      </c>
      <c r="U284" s="34">
        <f>_xlfn.LET(_xlpm.horas,O284,_xlpm.feriados,IF($H284="CO",FER_CO,FER_EC),_xlpm.capacidad,NETWORKDAYS(O$3,O$4,_xlpm.feriados)*INDEX(Consultores!$C$6:$C$65,MATCH($A284,Consultores!$A$6:$A$65,0)),IF(_xlpm.horas=0,"",IFERROR(_xlpm.horas/_xlpm.capacidad,"")))</f>
        <v/>
      </c>
    </row>
    <row r="285">
      <c r="A285" s="25" t="n"/>
      <c r="B285" s="25" t="n"/>
      <c r="C285" s="25" t="n"/>
      <c r="D285" s="30" t="n"/>
      <c r="E285" s="30" t="n"/>
      <c r="F285" s="26" t="n"/>
      <c r="G285" s="25" t="n"/>
      <c r="H285" s="31">
        <f>IF($A285="","",IFERROR(INDEX(Consultores!$B$6:$B$65,MATCH($A285,Consultores!$A$6:$A$65,0)),"No existe"))</f>
        <v/>
      </c>
      <c r="I285" s="32">
        <f>IF($F285="",0,$F285/5)</f>
        <v/>
      </c>
      <c r="J285" s="33">
        <f>_xlfn.LET(_xlpm.inicio,MAX($D285,J$3),_xlpm.fin,MIN($E285,J$4),_xlpm.feriados,IF($H285="CO",FER_CO,FER_EC),_xlpm.dias,IF(_xlpm.inicio&gt;_xlpm.fin,0,NETWORKDAYS(_xlpm.inicio,_xlpm.fin,_xlpm.feriados)),_xlpm.factor,IF($G285="Probable",IF(Parametros!$B$6="Sí",1,0),1),IF(OR($A285="",$D285="",$E285=""),0,_xlpm.dias*$I285*_xlpm.factor))</f>
        <v/>
      </c>
      <c r="K285" s="33">
        <f>_xlfn.LET(_xlpm.inicio,MAX($D285,K$3),_xlpm.fin,MIN($E285,K$4),_xlpm.feriados,IF($H285="CO",FER_CO,FER_EC),_xlpm.dias,IF(_xlpm.inicio&gt;_xlpm.fin,0,NETWORKDAYS(_xlpm.inicio,_xlpm.fin,_xlpm.feriados)),_xlpm.factor,IF($G285="Probable",IF(Parametros!$B$6="Sí",1,0),1),IF(OR($A285="",$D285="",$E285=""),0,_xlpm.dias*$I285*_xlpm.factor))</f>
        <v/>
      </c>
      <c r="L285" s="33">
        <f>_xlfn.LET(_xlpm.inicio,MAX($D285,L$3),_xlpm.fin,MIN($E285,L$4),_xlpm.feriados,IF($H285="CO",FER_CO,FER_EC),_xlpm.dias,IF(_xlpm.inicio&gt;_xlpm.fin,0,NETWORKDAYS(_xlpm.inicio,_xlpm.fin,_xlpm.feriados)),_xlpm.factor,IF($G285="Probable",IF(Parametros!$B$6="Sí",1,0),1),IF(OR($A285="",$D285="",$E285=""),0,_xlpm.dias*$I285*_xlpm.factor))</f>
        <v/>
      </c>
      <c r="M285" s="33">
        <f>_xlfn.LET(_xlpm.inicio,MAX($D285,M$3),_xlpm.fin,MIN($E285,M$4),_xlpm.feriados,IF($H285="CO",FER_CO,FER_EC),_xlpm.dias,IF(_xlpm.inicio&gt;_xlpm.fin,0,NETWORKDAYS(_xlpm.inicio,_xlpm.fin,_xlpm.feriados)),_xlpm.factor,IF($G285="Probable",IF(Parametros!$B$6="Sí",1,0),1),IF(OR($A285="",$D285="",$E285=""),0,_xlpm.dias*$I285*_xlpm.factor))</f>
        <v/>
      </c>
      <c r="N285" s="33">
        <f>_xlfn.LET(_xlpm.inicio,MAX($D285,N$3),_xlpm.fin,MIN($E285,N$4),_xlpm.feriados,IF($H285="CO",FER_CO,FER_EC),_xlpm.dias,IF(_xlpm.inicio&gt;_xlpm.fin,0,NETWORKDAYS(_xlpm.inicio,_xlpm.fin,_xlpm.feriados)),_xlpm.factor,IF($G285="Probable",IF(Parametros!$B$6="Sí",1,0),1),IF(OR($A285="",$D285="",$E285=""),0,_xlpm.dias*$I285*_xlpm.factor))</f>
        <v/>
      </c>
      <c r="O285" s="33">
        <f>_xlfn.LET(_xlpm.inicio,MAX($D285,O$3),_xlpm.fin,MIN($E285,O$4),_xlpm.feriados,IF($H285="CO",FER_CO,FER_EC),_xlpm.dias,IF(_xlpm.inicio&gt;_xlpm.fin,0,NETWORKDAYS(_xlpm.inicio,_xlpm.fin,_xlpm.feriados)),_xlpm.factor,IF($G285="Probable",IF(Parametros!$B$6="Sí",1,0),1),IF(OR($A285="",$D285="",$E285=""),0,_xlpm.dias*$I285*_xlpm.factor))</f>
        <v/>
      </c>
      <c r="P285" s="34">
        <f>_xlfn.LET(_xlpm.horas,J285,_xlpm.feriados,IF($H285="CO",FER_CO,FER_EC),_xlpm.capacidad,NETWORKDAYS(J$3,J$4,_xlpm.feriados)*INDEX(Consultores!$C$6:$C$65,MATCH($A285,Consultores!$A$6:$A$65,0)),IF(_xlpm.horas=0,"",IFERROR(_xlpm.horas/_xlpm.capacidad,"")))</f>
        <v/>
      </c>
      <c r="Q285" s="34">
        <f>_xlfn.LET(_xlpm.horas,K285,_xlpm.feriados,IF($H285="CO",FER_CO,FER_EC),_xlpm.capacidad,NETWORKDAYS(K$3,K$4,_xlpm.feriados)*INDEX(Consultores!$C$6:$C$65,MATCH($A285,Consultores!$A$6:$A$65,0)),IF(_xlpm.horas=0,"",IFERROR(_xlpm.horas/_xlpm.capacidad,"")))</f>
        <v/>
      </c>
      <c r="R285" s="34">
        <f>_xlfn.LET(_xlpm.horas,L285,_xlpm.feriados,IF($H285="CO",FER_CO,FER_EC),_xlpm.capacidad,NETWORKDAYS(L$3,L$4,_xlpm.feriados)*INDEX(Consultores!$C$6:$C$65,MATCH($A285,Consultores!$A$6:$A$65,0)),IF(_xlpm.horas=0,"",IFERROR(_xlpm.horas/_xlpm.capacidad,"")))</f>
        <v/>
      </c>
      <c r="S285" s="34">
        <f>_xlfn.LET(_xlpm.horas,M285,_xlpm.feriados,IF($H285="CO",FER_CO,FER_EC),_xlpm.capacidad,NETWORKDAYS(M$3,M$4,_xlpm.feriados)*INDEX(Consultores!$C$6:$C$65,MATCH($A285,Consultores!$A$6:$A$65,0)),IF(_xlpm.horas=0,"",IFERROR(_xlpm.horas/_xlpm.capacidad,"")))</f>
        <v/>
      </c>
      <c r="T285" s="34">
        <f>_xlfn.LET(_xlpm.horas,N285,_xlpm.feriados,IF($H285="CO",FER_CO,FER_EC),_xlpm.capacidad,NETWORKDAYS(N$3,N$4,_xlpm.feriados)*INDEX(Consultores!$C$6:$C$65,MATCH($A285,Consultores!$A$6:$A$65,0)),IF(_xlpm.horas=0,"",IFERROR(_xlpm.horas/_xlpm.capacidad,"")))</f>
        <v/>
      </c>
      <c r="U285" s="34">
        <f>_xlfn.LET(_xlpm.horas,O285,_xlpm.feriados,IF($H285="CO",FER_CO,FER_EC),_xlpm.capacidad,NETWORKDAYS(O$3,O$4,_xlpm.feriados)*INDEX(Consultores!$C$6:$C$65,MATCH($A285,Consultores!$A$6:$A$65,0)),IF(_xlpm.horas=0,"",IFERROR(_xlpm.horas/_xlpm.capacidad,"")))</f>
        <v/>
      </c>
    </row>
    <row r="286">
      <c r="A286" s="25" t="n"/>
      <c r="B286" s="25" t="n"/>
      <c r="C286" s="25" t="n"/>
      <c r="D286" s="30" t="n"/>
      <c r="E286" s="30" t="n"/>
      <c r="F286" s="26" t="n"/>
      <c r="G286" s="25" t="n"/>
      <c r="H286" s="31">
        <f>IF($A286="","",IFERROR(INDEX(Consultores!$B$6:$B$65,MATCH($A286,Consultores!$A$6:$A$65,0)),"No existe"))</f>
        <v/>
      </c>
      <c r="I286" s="32">
        <f>IF($F286="",0,$F286/5)</f>
        <v/>
      </c>
      <c r="J286" s="33">
        <f>_xlfn.LET(_xlpm.inicio,MAX($D286,J$3),_xlpm.fin,MIN($E286,J$4),_xlpm.feriados,IF($H286="CO",FER_CO,FER_EC),_xlpm.dias,IF(_xlpm.inicio&gt;_xlpm.fin,0,NETWORKDAYS(_xlpm.inicio,_xlpm.fin,_xlpm.feriados)),_xlpm.factor,IF($G286="Probable",IF(Parametros!$B$6="Sí",1,0),1),IF(OR($A286="",$D286="",$E286=""),0,_xlpm.dias*$I286*_xlpm.factor))</f>
        <v/>
      </c>
      <c r="K286" s="33">
        <f>_xlfn.LET(_xlpm.inicio,MAX($D286,K$3),_xlpm.fin,MIN($E286,K$4),_xlpm.feriados,IF($H286="CO",FER_CO,FER_EC),_xlpm.dias,IF(_xlpm.inicio&gt;_xlpm.fin,0,NETWORKDAYS(_xlpm.inicio,_xlpm.fin,_xlpm.feriados)),_xlpm.factor,IF($G286="Probable",IF(Parametros!$B$6="Sí",1,0),1),IF(OR($A286="",$D286="",$E286=""),0,_xlpm.dias*$I286*_xlpm.factor))</f>
        <v/>
      </c>
      <c r="L286" s="33">
        <f>_xlfn.LET(_xlpm.inicio,MAX($D286,L$3),_xlpm.fin,MIN($E286,L$4),_xlpm.feriados,IF($H286="CO",FER_CO,FER_EC),_xlpm.dias,IF(_xlpm.inicio&gt;_xlpm.fin,0,NETWORKDAYS(_xlpm.inicio,_xlpm.fin,_xlpm.feriados)),_xlpm.factor,IF($G286="Probable",IF(Parametros!$B$6="Sí",1,0),1),IF(OR($A286="",$D286="",$E286=""),0,_xlpm.dias*$I286*_xlpm.factor))</f>
        <v/>
      </c>
      <c r="M286" s="33">
        <f>_xlfn.LET(_xlpm.inicio,MAX($D286,M$3),_xlpm.fin,MIN($E286,M$4),_xlpm.feriados,IF($H286="CO",FER_CO,FER_EC),_xlpm.dias,IF(_xlpm.inicio&gt;_xlpm.fin,0,NETWORKDAYS(_xlpm.inicio,_xlpm.fin,_xlpm.feriados)),_xlpm.factor,IF($G286="Probable",IF(Parametros!$B$6="Sí",1,0),1),IF(OR($A286="",$D286="",$E286=""),0,_xlpm.dias*$I286*_xlpm.factor))</f>
        <v/>
      </c>
      <c r="N286" s="33">
        <f>_xlfn.LET(_xlpm.inicio,MAX($D286,N$3),_xlpm.fin,MIN($E286,N$4),_xlpm.feriados,IF($H286="CO",FER_CO,FER_EC),_xlpm.dias,IF(_xlpm.inicio&gt;_xlpm.fin,0,NETWORKDAYS(_xlpm.inicio,_xlpm.fin,_xlpm.feriados)),_xlpm.factor,IF($G286="Probable",IF(Parametros!$B$6="Sí",1,0),1),IF(OR($A286="",$D286="",$E286=""),0,_xlpm.dias*$I286*_xlpm.factor))</f>
        <v/>
      </c>
      <c r="O286" s="33">
        <f>_xlfn.LET(_xlpm.inicio,MAX($D286,O$3),_xlpm.fin,MIN($E286,O$4),_xlpm.feriados,IF($H286="CO",FER_CO,FER_EC),_xlpm.dias,IF(_xlpm.inicio&gt;_xlpm.fin,0,NETWORKDAYS(_xlpm.inicio,_xlpm.fin,_xlpm.feriados)),_xlpm.factor,IF($G286="Probable",IF(Parametros!$B$6="Sí",1,0),1),IF(OR($A286="",$D286="",$E286=""),0,_xlpm.dias*$I286*_xlpm.factor))</f>
        <v/>
      </c>
      <c r="P286" s="34">
        <f>_xlfn.LET(_xlpm.horas,J286,_xlpm.feriados,IF($H286="CO",FER_CO,FER_EC),_xlpm.capacidad,NETWORKDAYS(J$3,J$4,_xlpm.feriados)*INDEX(Consultores!$C$6:$C$65,MATCH($A286,Consultores!$A$6:$A$65,0)),IF(_xlpm.horas=0,"",IFERROR(_xlpm.horas/_xlpm.capacidad,"")))</f>
        <v/>
      </c>
      <c r="Q286" s="34">
        <f>_xlfn.LET(_xlpm.horas,K286,_xlpm.feriados,IF($H286="CO",FER_CO,FER_EC),_xlpm.capacidad,NETWORKDAYS(K$3,K$4,_xlpm.feriados)*INDEX(Consultores!$C$6:$C$65,MATCH($A286,Consultores!$A$6:$A$65,0)),IF(_xlpm.horas=0,"",IFERROR(_xlpm.horas/_xlpm.capacidad,"")))</f>
        <v/>
      </c>
      <c r="R286" s="34">
        <f>_xlfn.LET(_xlpm.horas,L286,_xlpm.feriados,IF($H286="CO",FER_CO,FER_EC),_xlpm.capacidad,NETWORKDAYS(L$3,L$4,_xlpm.feriados)*INDEX(Consultores!$C$6:$C$65,MATCH($A286,Consultores!$A$6:$A$65,0)),IF(_xlpm.horas=0,"",IFERROR(_xlpm.horas/_xlpm.capacidad,"")))</f>
        <v/>
      </c>
      <c r="S286" s="34">
        <f>_xlfn.LET(_xlpm.horas,M286,_xlpm.feriados,IF($H286="CO",FER_CO,FER_EC),_xlpm.capacidad,NETWORKDAYS(M$3,M$4,_xlpm.feriados)*INDEX(Consultores!$C$6:$C$65,MATCH($A286,Consultores!$A$6:$A$65,0)),IF(_xlpm.horas=0,"",IFERROR(_xlpm.horas/_xlpm.capacidad,"")))</f>
        <v/>
      </c>
      <c r="T286" s="34">
        <f>_xlfn.LET(_xlpm.horas,N286,_xlpm.feriados,IF($H286="CO",FER_CO,FER_EC),_xlpm.capacidad,NETWORKDAYS(N$3,N$4,_xlpm.feriados)*INDEX(Consultores!$C$6:$C$65,MATCH($A286,Consultores!$A$6:$A$65,0)),IF(_xlpm.horas=0,"",IFERROR(_xlpm.horas/_xlpm.capacidad,"")))</f>
        <v/>
      </c>
      <c r="U286" s="34">
        <f>_xlfn.LET(_xlpm.horas,O286,_xlpm.feriados,IF($H286="CO",FER_CO,FER_EC),_xlpm.capacidad,NETWORKDAYS(O$3,O$4,_xlpm.feriados)*INDEX(Consultores!$C$6:$C$65,MATCH($A286,Consultores!$A$6:$A$65,0)),IF(_xlpm.horas=0,"",IFERROR(_xlpm.horas/_xlpm.capacidad,"")))</f>
        <v/>
      </c>
    </row>
    <row r="287">
      <c r="A287" s="25" t="n"/>
      <c r="B287" s="25" t="n"/>
      <c r="C287" s="25" t="n"/>
      <c r="D287" s="30" t="n"/>
      <c r="E287" s="30" t="n"/>
      <c r="F287" s="26" t="n"/>
      <c r="G287" s="25" t="n"/>
      <c r="H287" s="31">
        <f>IF($A287="","",IFERROR(INDEX(Consultores!$B$6:$B$65,MATCH($A287,Consultores!$A$6:$A$65,0)),"No existe"))</f>
        <v/>
      </c>
      <c r="I287" s="32">
        <f>IF($F287="",0,$F287/5)</f>
        <v/>
      </c>
      <c r="J287" s="33">
        <f>_xlfn.LET(_xlpm.inicio,MAX($D287,J$3),_xlpm.fin,MIN($E287,J$4),_xlpm.feriados,IF($H287="CO",FER_CO,FER_EC),_xlpm.dias,IF(_xlpm.inicio&gt;_xlpm.fin,0,NETWORKDAYS(_xlpm.inicio,_xlpm.fin,_xlpm.feriados)),_xlpm.factor,IF($G287="Probable",IF(Parametros!$B$6="Sí",1,0),1),IF(OR($A287="",$D287="",$E287=""),0,_xlpm.dias*$I287*_xlpm.factor))</f>
        <v/>
      </c>
      <c r="K287" s="33">
        <f>_xlfn.LET(_xlpm.inicio,MAX($D287,K$3),_xlpm.fin,MIN($E287,K$4),_xlpm.feriados,IF($H287="CO",FER_CO,FER_EC),_xlpm.dias,IF(_xlpm.inicio&gt;_xlpm.fin,0,NETWORKDAYS(_xlpm.inicio,_xlpm.fin,_xlpm.feriados)),_xlpm.factor,IF($G287="Probable",IF(Parametros!$B$6="Sí",1,0),1),IF(OR($A287="",$D287="",$E287=""),0,_xlpm.dias*$I287*_xlpm.factor))</f>
        <v/>
      </c>
      <c r="L287" s="33">
        <f>_xlfn.LET(_xlpm.inicio,MAX($D287,L$3),_xlpm.fin,MIN($E287,L$4),_xlpm.feriados,IF($H287="CO",FER_CO,FER_EC),_xlpm.dias,IF(_xlpm.inicio&gt;_xlpm.fin,0,NETWORKDAYS(_xlpm.inicio,_xlpm.fin,_xlpm.feriados)),_xlpm.factor,IF($G287="Probable",IF(Parametros!$B$6="Sí",1,0),1),IF(OR($A287="",$D287="",$E287=""),0,_xlpm.dias*$I287*_xlpm.factor))</f>
        <v/>
      </c>
      <c r="M287" s="33">
        <f>_xlfn.LET(_xlpm.inicio,MAX($D287,M$3),_xlpm.fin,MIN($E287,M$4),_xlpm.feriados,IF($H287="CO",FER_CO,FER_EC),_xlpm.dias,IF(_xlpm.inicio&gt;_xlpm.fin,0,NETWORKDAYS(_xlpm.inicio,_xlpm.fin,_xlpm.feriados)),_xlpm.factor,IF($G287="Probable",IF(Parametros!$B$6="Sí",1,0),1),IF(OR($A287="",$D287="",$E287=""),0,_xlpm.dias*$I287*_xlpm.factor))</f>
        <v/>
      </c>
      <c r="N287" s="33">
        <f>_xlfn.LET(_xlpm.inicio,MAX($D287,N$3),_xlpm.fin,MIN($E287,N$4),_xlpm.feriados,IF($H287="CO",FER_CO,FER_EC),_xlpm.dias,IF(_xlpm.inicio&gt;_xlpm.fin,0,NETWORKDAYS(_xlpm.inicio,_xlpm.fin,_xlpm.feriados)),_xlpm.factor,IF($G287="Probable",IF(Parametros!$B$6="Sí",1,0),1),IF(OR($A287="",$D287="",$E287=""),0,_xlpm.dias*$I287*_xlpm.factor))</f>
        <v/>
      </c>
      <c r="O287" s="33">
        <f>_xlfn.LET(_xlpm.inicio,MAX($D287,O$3),_xlpm.fin,MIN($E287,O$4),_xlpm.feriados,IF($H287="CO",FER_CO,FER_EC),_xlpm.dias,IF(_xlpm.inicio&gt;_xlpm.fin,0,NETWORKDAYS(_xlpm.inicio,_xlpm.fin,_xlpm.feriados)),_xlpm.factor,IF($G287="Probable",IF(Parametros!$B$6="Sí",1,0),1),IF(OR($A287="",$D287="",$E287=""),0,_xlpm.dias*$I287*_xlpm.factor))</f>
        <v/>
      </c>
      <c r="P287" s="34">
        <f>_xlfn.LET(_xlpm.horas,J287,_xlpm.feriados,IF($H287="CO",FER_CO,FER_EC),_xlpm.capacidad,NETWORKDAYS(J$3,J$4,_xlpm.feriados)*INDEX(Consultores!$C$6:$C$65,MATCH($A287,Consultores!$A$6:$A$65,0)),IF(_xlpm.horas=0,"",IFERROR(_xlpm.horas/_xlpm.capacidad,"")))</f>
        <v/>
      </c>
      <c r="Q287" s="34">
        <f>_xlfn.LET(_xlpm.horas,K287,_xlpm.feriados,IF($H287="CO",FER_CO,FER_EC),_xlpm.capacidad,NETWORKDAYS(K$3,K$4,_xlpm.feriados)*INDEX(Consultores!$C$6:$C$65,MATCH($A287,Consultores!$A$6:$A$65,0)),IF(_xlpm.horas=0,"",IFERROR(_xlpm.horas/_xlpm.capacidad,"")))</f>
        <v/>
      </c>
      <c r="R287" s="34">
        <f>_xlfn.LET(_xlpm.horas,L287,_xlpm.feriados,IF($H287="CO",FER_CO,FER_EC),_xlpm.capacidad,NETWORKDAYS(L$3,L$4,_xlpm.feriados)*INDEX(Consultores!$C$6:$C$65,MATCH($A287,Consultores!$A$6:$A$65,0)),IF(_xlpm.horas=0,"",IFERROR(_xlpm.horas/_xlpm.capacidad,"")))</f>
        <v/>
      </c>
      <c r="S287" s="34">
        <f>_xlfn.LET(_xlpm.horas,M287,_xlpm.feriados,IF($H287="CO",FER_CO,FER_EC),_xlpm.capacidad,NETWORKDAYS(M$3,M$4,_xlpm.feriados)*INDEX(Consultores!$C$6:$C$65,MATCH($A287,Consultores!$A$6:$A$65,0)),IF(_xlpm.horas=0,"",IFERROR(_xlpm.horas/_xlpm.capacidad,"")))</f>
        <v/>
      </c>
      <c r="T287" s="34">
        <f>_xlfn.LET(_xlpm.horas,N287,_xlpm.feriados,IF($H287="CO",FER_CO,FER_EC),_xlpm.capacidad,NETWORKDAYS(N$3,N$4,_xlpm.feriados)*INDEX(Consultores!$C$6:$C$65,MATCH($A287,Consultores!$A$6:$A$65,0)),IF(_xlpm.horas=0,"",IFERROR(_xlpm.horas/_xlpm.capacidad,"")))</f>
        <v/>
      </c>
      <c r="U287" s="34">
        <f>_xlfn.LET(_xlpm.horas,O287,_xlpm.feriados,IF($H287="CO",FER_CO,FER_EC),_xlpm.capacidad,NETWORKDAYS(O$3,O$4,_xlpm.feriados)*INDEX(Consultores!$C$6:$C$65,MATCH($A287,Consultores!$A$6:$A$65,0)),IF(_xlpm.horas=0,"",IFERROR(_xlpm.horas/_xlpm.capacidad,"")))</f>
        <v/>
      </c>
    </row>
    <row r="288">
      <c r="A288" s="25" t="n"/>
      <c r="B288" s="25" t="n"/>
      <c r="C288" s="25" t="n"/>
      <c r="D288" s="30" t="n"/>
      <c r="E288" s="30" t="n"/>
      <c r="F288" s="26" t="n"/>
      <c r="G288" s="25" t="n"/>
      <c r="H288" s="31">
        <f>IF($A288="","",IFERROR(INDEX(Consultores!$B$6:$B$65,MATCH($A288,Consultores!$A$6:$A$65,0)),"No existe"))</f>
        <v/>
      </c>
      <c r="I288" s="32">
        <f>IF($F288="",0,$F288/5)</f>
        <v/>
      </c>
      <c r="J288" s="33">
        <f>_xlfn.LET(_xlpm.inicio,MAX($D288,J$3),_xlpm.fin,MIN($E288,J$4),_xlpm.feriados,IF($H288="CO",FER_CO,FER_EC),_xlpm.dias,IF(_xlpm.inicio&gt;_xlpm.fin,0,NETWORKDAYS(_xlpm.inicio,_xlpm.fin,_xlpm.feriados)),_xlpm.factor,IF($G288="Probable",IF(Parametros!$B$6="Sí",1,0),1),IF(OR($A288="",$D288="",$E288=""),0,_xlpm.dias*$I288*_xlpm.factor))</f>
        <v/>
      </c>
      <c r="K288" s="33">
        <f>_xlfn.LET(_xlpm.inicio,MAX($D288,K$3),_xlpm.fin,MIN($E288,K$4),_xlpm.feriados,IF($H288="CO",FER_CO,FER_EC),_xlpm.dias,IF(_xlpm.inicio&gt;_xlpm.fin,0,NETWORKDAYS(_xlpm.inicio,_xlpm.fin,_xlpm.feriados)),_xlpm.factor,IF($G288="Probable",IF(Parametros!$B$6="Sí",1,0),1),IF(OR($A288="",$D288="",$E288=""),0,_xlpm.dias*$I288*_xlpm.factor))</f>
        <v/>
      </c>
      <c r="L288" s="33">
        <f>_xlfn.LET(_xlpm.inicio,MAX($D288,L$3),_xlpm.fin,MIN($E288,L$4),_xlpm.feriados,IF($H288="CO",FER_CO,FER_EC),_xlpm.dias,IF(_xlpm.inicio&gt;_xlpm.fin,0,NETWORKDAYS(_xlpm.inicio,_xlpm.fin,_xlpm.feriados)),_xlpm.factor,IF($G288="Probable",IF(Parametros!$B$6="Sí",1,0),1),IF(OR($A288="",$D288="",$E288=""),0,_xlpm.dias*$I288*_xlpm.factor))</f>
        <v/>
      </c>
      <c r="M288" s="33">
        <f>_xlfn.LET(_xlpm.inicio,MAX($D288,M$3),_xlpm.fin,MIN($E288,M$4),_xlpm.feriados,IF($H288="CO",FER_CO,FER_EC),_xlpm.dias,IF(_xlpm.inicio&gt;_xlpm.fin,0,NETWORKDAYS(_xlpm.inicio,_xlpm.fin,_xlpm.feriados)),_xlpm.factor,IF($G288="Probable",IF(Parametros!$B$6="Sí",1,0),1),IF(OR($A288="",$D288="",$E288=""),0,_xlpm.dias*$I288*_xlpm.factor))</f>
        <v/>
      </c>
      <c r="N288" s="33">
        <f>_xlfn.LET(_xlpm.inicio,MAX($D288,N$3),_xlpm.fin,MIN($E288,N$4),_xlpm.feriados,IF($H288="CO",FER_CO,FER_EC),_xlpm.dias,IF(_xlpm.inicio&gt;_xlpm.fin,0,NETWORKDAYS(_xlpm.inicio,_xlpm.fin,_xlpm.feriados)),_xlpm.factor,IF($G288="Probable",IF(Parametros!$B$6="Sí",1,0),1),IF(OR($A288="",$D288="",$E288=""),0,_xlpm.dias*$I288*_xlpm.factor))</f>
        <v/>
      </c>
      <c r="O288" s="33">
        <f>_xlfn.LET(_xlpm.inicio,MAX($D288,O$3),_xlpm.fin,MIN($E288,O$4),_xlpm.feriados,IF($H288="CO",FER_CO,FER_EC),_xlpm.dias,IF(_xlpm.inicio&gt;_xlpm.fin,0,NETWORKDAYS(_xlpm.inicio,_xlpm.fin,_xlpm.feriados)),_xlpm.factor,IF($G288="Probable",IF(Parametros!$B$6="Sí",1,0),1),IF(OR($A288="",$D288="",$E288=""),0,_xlpm.dias*$I288*_xlpm.factor))</f>
        <v/>
      </c>
      <c r="P288" s="34">
        <f>_xlfn.LET(_xlpm.horas,J288,_xlpm.feriados,IF($H288="CO",FER_CO,FER_EC),_xlpm.capacidad,NETWORKDAYS(J$3,J$4,_xlpm.feriados)*INDEX(Consultores!$C$6:$C$65,MATCH($A288,Consultores!$A$6:$A$65,0)),IF(_xlpm.horas=0,"",IFERROR(_xlpm.horas/_xlpm.capacidad,"")))</f>
        <v/>
      </c>
      <c r="Q288" s="34">
        <f>_xlfn.LET(_xlpm.horas,K288,_xlpm.feriados,IF($H288="CO",FER_CO,FER_EC),_xlpm.capacidad,NETWORKDAYS(K$3,K$4,_xlpm.feriados)*INDEX(Consultores!$C$6:$C$65,MATCH($A288,Consultores!$A$6:$A$65,0)),IF(_xlpm.horas=0,"",IFERROR(_xlpm.horas/_xlpm.capacidad,"")))</f>
        <v/>
      </c>
      <c r="R288" s="34">
        <f>_xlfn.LET(_xlpm.horas,L288,_xlpm.feriados,IF($H288="CO",FER_CO,FER_EC),_xlpm.capacidad,NETWORKDAYS(L$3,L$4,_xlpm.feriados)*INDEX(Consultores!$C$6:$C$65,MATCH($A288,Consultores!$A$6:$A$65,0)),IF(_xlpm.horas=0,"",IFERROR(_xlpm.horas/_xlpm.capacidad,"")))</f>
        <v/>
      </c>
      <c r="S288" s="34">
        <f>_xlfn.LET(_xlpm.horas,M288,_xlpm.feriados,IF($H288="CO",FER_CO,FER_EC),_xlpm.capacidad,NETWORKDAYS(M$3,M$4,_xlpm.feriados)*INDEX(Consultores!$C$6:$C$65,MATCH($A288,Consultores!$A$6:$A$65,0)),IF(_xlpm.horas=0,"",IFERROR(_xlpm.horas/_xlpm.capacidad,"")))</f>
        <v/>
      </c>
      <c r="T288" s="34">
        <f>_xlfn.LET(_xlpm.horas,N288,_xlpm.feriados,IF($H288="CO",FER_CO,FER_EC),_xlpm.capacidad,NETWORKDAYS(N$3,N$4,_xlpm.feriados)*INDEX(Consultores!$C$6:$C$65,MATCH($A288,Consultores!$A$6:$A$65,0)),IF(_xlpm.horas=0,"",IFERROR(_xlpm.horas/_xlpm.capacidad,"")))</f>
        <v/>
      </c>
      <c r="U288" s="34">
        <f>_xlfn.LET(_xlpm.horas,O288,_xlpm.feriados,IF($H288="CO",FER_CO,FER_EC),_xlpm.capacidad,NETWORKDAYS(O$3,O$4,_xlpm.feriados)*INDEX(Consultores!$C$6:$C$65,MATCH($A288,Consultores!$A$6:$A$65,0)),IF(_xlpm.horas=0,"",IFERROR(_xlpm.horas/_xlpm.capacidad,"")))</f>
        <v/>
      </c>
    </row>
    <row r="289">
      <c r="A289" s="25" t="n"/>
      <c r="B289" s="25" t="n"/>
      <c r="C289" s="25" t="n"/>
      <c r="D289" s="30" t="n"/>
      <c r="E289" s="30" t="n"/>
      <c r="F289" s="26" t="n"/>
      <c r="G289" s="25" t="n"/>
      <c r="H289" s="31">
        <f>IF($A289="","",IFERROR(INDEX(Consultores!$B$6:$B$65,MATCH($A289,Consultores!$A$6:$A$65,0)),"No existe"))</f>
        <v/>
      </c>
      <c r="I289" s="32">
        <f>IF($F289="",0,$F289/5)</f>
        <v/>
      </c>
      <c r="J289" s="33">
        <f>_xlfn.LET(_xlpm.inicio,MAX($D289,J$3),_xlpm.fin,MIN($E289,J$4),_xlpm.feriados,IF($H289="CO",FER_CO,FER_EC),_xlpm.dias,IF(_xlpm.inicio&gt;_xlpm.fin,0,NETWORKDAYS(_xlpm.inicio,_xlpm.fin,_xlpm.feriados)),_xlpm.factor,IF($G289="Probable",IF(Parametros!$B$6="Sí",1,0),1),IF(OR($A289="",$D289="",$E289=""),0,_xlpm.dias*$I289*_xlpm.factor))</f>
        <v/>
      </c>
      <c r="K289" s="33">
        <f>_xlfn.LET(_xlpm.inicio,MAX($D289,K$3),_xlpm.fin,MIN($E289,K$4),_xlpm.feriados,IF($H289="CO",FER_CO,FER_EC),_xlpm.dias,IF(_xlpm.inicio&gt;_xlpm.fin,0,NETWORKDAYS(_xlpm.inicio,_xlpm.fin,_xlpm.feriados)),_xlpm.factor,IF($G289="Probable",IF(Parametros!$B$6="Sí",1,0),1),IF(OR($A289="",$D289="",$E289=""),0,_xlpm.dias*$I289*_xlpm.factor))</f>
        <v/>
      </c>
      <c r="L289" s="33">
        <f>_xlfn.LET(_xlpm.inicio,MAX($D289,L$3),_xlpm.fin,MIN($E289,L$4),_xlpm.feriados,IF($H289="CO",FER_CO,FER_EC),_xlpm.dias,IF(_xlpm.inicio&gt;_xlpm.fin,0,NETWORKDAYS(_xlpm.inicio,_xlpm.fin,_xlpm.feriados)),_xlpm.factor,IF($G289="Probable",IF(Parametros!$B$6="Sí",1,0),1),IF(OR($A289="",$D289="",$E289=""),0,_xlpm.dias*$I289*_xlpm.factor))</f>
        <v/>
      </c>
      <c r="M289" s="33">
        <f>_xlfn.LET(_xlpm.inicio,MAX($D289,M$3),_xlpm.fin,MIN($E289,M$4),_xlpm.feriados,IF($H289="CO",FER_CO,FER_EC),_xlpm.dias,IF(_xlpm.inicio&gt;_xlpm.fin,0,NETWORKDAYS(_xlpm.inicio,_xlpm.fin,_xlpm.feriados)),_xlpm.factor,IF($G289="Probable",IF(Parametros!$B$6="Sí",1,0),1),IF(OR($A289="",$D289="",$E289=""),0,_xlpm.dias*$I289*_xlpm.factor))</f>
        <v/>
      </c>
      <c r="N289" s="33">
        <f>_xlfn.LET(_xlpm.inicio,MAX($D289,N$3),_xlpm.fin,MIN($E289,N$4),_xlpm.feriados,IF($H289="CO",FER_CO,FER_EC),_xlpm.dias,IF(_xlpm.inicio&gt;_xlpm.fin,0,NETWORKDAYS(_xlpm.inicio,_xlpm.fin,_xlpm.feriados)),_xlpm.factor,IF($G289="Probable",IF(Parametros!$B$6="Sí",1,0),1),IF(OR($A289="",$D289="",$E289=""),0,_xlpm.dias*$I289*_xlpm.factor))</f>
        <v/>
      </c>
      <c r="O289" s="33">
        <f>_xlfn.LET(_xlpm.inicio,MAX($D289,O$3),_xlpm.fin,MIN($E289,O$4),_xlpm.feriados,IF($H289="CO",FER_CO,FER_EC),_xlpm.dias,IF(_xlpm.inicio&gt;_xlpm.fin,0,NETWORKDAYS(_xlpm.inicio,_xlpm.fin,_xlpm.feriados)),_xlpm.factor,IF($G289="Probable",IF(Parametros!$B$6="Sí",1,0),1),IF(OR($A289="",$D289="",$E289=""),0,_xlpm.dias*$I289*_xlpm.factor))</f>
        <v/>
      </c>
      <c r="P289" s="34">
        <f>_xlfn.LET(_xlpm.horas,J289,_xlpm.feriados,IF($H289="CO",FER_CO,FER_EC),_xlpm.capacidad,NETWORKDAYS(J$3,J$4,_xlpm.feriados)*INDEX(Consultores!$C$6:$C$65,MATCH($A289,Consultores!$A$6:$A$65,0)),IF(_xlpm.horas=0,"",IFERROR(_xlpm.horas/_xlpm.capacidad,"")))</f>
        <v/>
      </c>
      <c r="Q289" s="34">
        <f>_xlfn.LET(_xlpm.horas,K289,_xlpm.feriados,IF($H289="CO",FER_CO,FER_EC),_xlpm.capacidad,NETWORKDAYS(K$3,K$4,_xlpm.feriados)*INDEX(Consultores!$C$6:$C$65,MATCH($A289,Consultores!$A$6:$A$65,0)),IF(_xlpm.horas=0,"",IFERROR(_xlpm.horas/_xlpm.capacidad,"")))</f>
        <v/>
      </c>
      <c r="R289" s="34">
        <f>_xlfn.LET(_xlpm.horas,L289,_xlpm.feriados,IF($H289="CO",FER_CO,FER_EC),_xlpm.capacidad,NETWORKDAYS(L$3,L$4,_xlpm.feriados)*INDEX(Consultores!$C$6:$C$65,MATCH($A289,Consultores!$A$6:$A$65,0)),IF(_xlpm.horas=0,"",IFERROR(_xlpm.horas/_xlpm.capacidad,"")))</f>
        <v/>
      </c>
      <c r="S289" s="34">
        <f>_xlfn.LET(_xlpm.horas,M289,_xlpm.feriados,IF($H289="CO",FER_CO,FER_EC),_xlpm.capacidad,NETWORKDAYS(M$3,M$4,_xlpm.feriados)*INDEX(Consultores!$C$6:$C$65,MATCH($A289,Consultores!$A$6:$A$65,0)),IF(_xlpm.horas=0,"",IFERROR(_xlpm.horas/_xlpm.capacidad,"")))</f>
        <v/>
      </c>
      <c r="T289" s="34">
        <f>_xlfn.LET(_xlpm.horas,N289,_xlpm.feriados,IF($H289="CO",FER_CO,FER_EC),_xlpm.capacidad,NETWORKDAYS(N$3,N$4,_xlpm.feriados)*INDEX(Consultores!$C$6:$C$65,MATCH($A289,Consultores!$A$6:$A$65,0)),IF(_xlpm.horas=0,"",IFERROR(_xlpm.horas/_xlpm.capacidad,"")))</f>
        <v/>
      </c>
      <c r="U289" s="34">
        <f>_xlfn.LET(_xlpm.horas,O289,_xlpm.feriados,IF($H289="CO",FER_CO,FER_EC),_xlpm.capacidad,NETWORKDAYS(O$3,O$4,_xlpm.feriados)*INDEX(Consultores!$C$6:$C$65,MATCH($A289,Consultores!$A$6:$A$65,0)),IF(_xlpm.horas=0,"",IFERROR(_xlpm.horas/_xlpm.capacidad,"")))</f>
        <v/>
      </c>
    </row>
    <row r="290">
      <c r="A290" s="25" t="n"/>
      <c r="B290" s="25" t="n"/>
      <c r="C290" s="25" t="n"/>
      <c r="D290" s="30" t="n"/>
      <c r="E290" s="30" t="n"/>
      <c r="F290" s="26" t="n"/>
      <c r="G290" s="25" t="n"/>
      <c r="H290" s="31">
        <f>IF($A290="","",IFERROR(INDEX(Consultores!$B$6:$B$65,MATCH($A290,Consultores!$A$6:$A$65,0)),"No existe"))</f>
        <v/>
      </c>
      <c r="I290" s="32">
        <f>IF($F290="",0,$F290/5)</f>
        <v/>
      </c>
      <c r="J290" s="33">
        <f>_xlfn.LET(_xlpm.inicio,MAX($D290,J$3),_xlpm.fin,MIN($E290,J$4),_xlpm.feriados,IF($H290="CO",FER_CO,FER_EC),_xlpm.dias,IF(_xlpm.inicio&gt;_xlpm.fin,0,NETWORKDAYS(_xlpm.inicio,_xlpm.fin,_xlpm.feriados)),_xlpm.factor,IF($G290="Probable",IF(Parametros!$B$6="Sí",1,0),1),IF(OR($A290="",$D290="",$E290=""),0,_xlpm.dias*$I290*_xlpm.factor))</f>
        <v/>
      </c>
      <c r="K290" s="33">
        <f>_xlfn.LET(_xlpm.inicio,MAX($D290,K$3),_xlpm.fin,MIN($E290,K$4),_xlpm.feriados,IF($H290="CO",FER_CO,FER_EC),_xlpm.dias,IF(_xlpm.inicio&gt;_xlpm.fin,0,NETWORKDAYS(_xlpm.inicio,_xlpm.fin,_xlpm.feriados)),_xlpm.factor,IF($G290="Probable",IF(Parametros!$B$6="Sí",1,0),1),IF(OR($A290="",$D290="",$E290=""),0,_xlpm.dias*$I290*_xlpm.factor))</f>
        <v/>
      </c>
      <c r="L290" s="33">
        <f>_xlfn.LET(_xlpm.inicio,MAX($D290,L$3),_xlpm.fin,MIN($E290,L$4),_xlpm.feriados,IF($H290="CO",FER_CO,FER_EC),_xlpm.dias,IF(_xlpm.inicio&gt;_xlpm.fin,0,NETWORKDAYS(_xlpm.inicio,_xlpm.fin,_xlpm.feriados)),_xlpm.factor,IF($G290="Probable",IF(Parametros!$B$6="Sí",1,0),1),IF(OR($A290="",$D290="",$E290=""),0,_xlpm.dias*$I290*_xlpm.factor))</f>
        <v/>
      </c>
      <c r="M290" s="33">
        <f>_xlfn.LET(_xlpm.inicio,MAX($D290,M$3),_xlpm.fin,MIN($E290,M$4),_xlpm.feriados,IF($H290="CO",FER_CO,FER_EC),_xlpm.dias,IF(_xlpm.inicio&gt;_xlpm.fin,0,NETWORKDAYS(_xlpm.inicio,_xlpm.fin,_xlpm.feriados)),_xlpm.factor,IF($G290="Probable",IF(Parametros!$B$6="Sí",1,0),1),IF(OR($A290="",$D290="",$E290=""),0,_xlpm.dias*$I290*_xlpm.factor))</f>
        <v/>
      </c>
      <c r="N290" s="33">
        <f>_xlfn.LET(_xlpm.inicio,MAX($D290,N$3),_xlpm.fin,MIN($E290,N$4),_xlpm.feriados,IF($H290="CO",FER_CO,FER_EC),_xlpm.dias,IF(_xlpm.inicio&gt;_xlpm.fin,0,NETWORKDAYS(_xlpm.inicio,_xlpm.fin,_xlpm.feriados)),_xlpm.factor,IF($G290="Probable",IF(Parametros!$B$6="Sí",1,0),1),IF(OR($A290="",$D290="",$E290=""),0,_xlpm.dias*$I290*_xlpm.factor))</f>
        <v/>
      </c>
      <c r="O290" s="33">
        <f>_xlfn.LET(_xlpm.inicio,MAX($D290,O$3),_xlpm.fin,MIN($E290,O$4),_xlpm.feriados,IF($H290="CO",FER_CO,FER_EC),_xlpm.dias,IF(_xlpm.inicio&gt;_xlpm.fin,0,NETWORKDAYS(_xlpm.inicio,_xlpm.fin,_xlpm.feriados)),_xlpm.factor,IF($G290="Probable",IF(Parametros!$B$6="Sí",1,0),1),IF(OR($A290="",$D290="",$E290=""),0,_xlpm.dias*$I290*_xlpm.factor))</f>
        <v/>
      </c>
      <c r="P290" s="34">
        <f>_xlfn.LET(_xlpm.horas,J290,_xlpm.feriados,IF($H290="CO",FER_CO,FER_EC),_xlpm.capacidad,NETWORKDAYS(J$3,J$4,_xlpm.feriados)*INDEX(Consultores!$C$6:$C$65,MATCH($A290,Consultores!$A$6:$A$65,0)),IF(_xlpm.horas=0,"",IFERROR(_xlpm.horas/_xlpm.capacidad,"")))</f>
        <v/>
      </c>
      <c r="Q290" s="34">
        <f>_xlfn.LET(_xlpm.horas,K290,_xlpm.feriados,IF($H290="CO",FER_CO,FER_EC),_xlpm.capacidad,NETWORKDAYS(K$3,K$4,_xlpm.feriados)*INDEX(Consultores!$C$6:$C$65,MATCH($A290,Consultores!$A$6:$A$65,0)),IF(_xlpm.horas=0,"",IFERROR(_xlpm.horas/_xlpm.capacidad,"")))</f>
        <v/>
      </c>
      <c r="R290" s="34">
        <f>_xlfn.LET(_xlpm.horas,L290,_xlpm.feriados,IF($H290="CO",FER_CO,FER_EC),_xlpm.capacidad,NETWORKDAYS(L$3,L$4,_xlpm.feriados)*INDEX(Consultores!$C$6:$C$65,MATCH($A290,Consultores!$A$6:$A$65,0)),IF(_xlpm.horas=0,"",IFERROR(_xlpm.horas/_xlpm.capacidad,"")))</f>
        <v/>
      </c>
      <c r="S290" s="34">
        <f>_xlfn.LET(_xlpm.horas,M290,_xlpm.feriados,IF($H290="CO",FER_CO,FER_EC),_xlpm.capacidad,NETWORKDAYS(M$3,M$4,_xlpm.feriados)*INDEX(Consultores!$C$6:$C$65,MATCH($A290,Consultores!$A$6:$A$65,0)),IF(_xlpm.horas=0,"",IFERROR(_xlpm.horas/_xlpm.capacidad,"")))</f>
        <v/>
      </c>
      <c r="T290" s="34">
        <f>_xlfn.LET(_xlpm.horas,N290,_xlpm.feriados,IF($H290="CO",FER_CO,FER_EC),_xlpm.capacidad,NETWORKDAYS(N$3,N$4,_xlpm.feriados)*INDEX(Consultores!$C$6:$C$65,MATCH($A290,Consultores!$A$6:$A$65,0)),IF(_xlpm.horas=0,"",IFERROR(_xlpm.horas/_xlpm.capacidad,"")))</f>
        <v/>
      </c>
      <c r="U290" s="34">
        <f>_xlfn.LET(_xlpm.horas,O290,_xlpm.feriados,IF($H290="CO",FER_CO,FER_EC),_xlpm.capacidad,NETWORKDAYS(O$3,O$4,_xlpm.feriados)*INDEX(Consultores!$C$6:$C$65,MATCH($A290,Consultores!$A$6:$A$65,0)),IF(_xlpm.horas=0,"",IFERROR(_xlpm.horas/_xlpm.capacidad,"")))</f>
        <v/>
      </c>
    </row>
    <row r="291">
      <c r="A291" s="25" t="n"/>
      <c r="B291" s="25" t="n"/>
      <c r="C291" s="25" t="n"/>
      <c r="D291" s="30" t="n"/>
      <c r="E291" s="30" t="n"/>
      <c r="F291" s="26" t="n"/>
      <c r="G291" s="25" t="n"/>
      <c r="H291" s="31">
        <f>IF($A291="","",IFERROR(INDEX(Consultores!$B$6:$B$65,MATCH($A291,Consultores!$A$6:$A$65,0)),"No existe"))</f>
        <v/>
      </c>
      <c r="I291" s="32">
        <f>IF($F291="",0,$F291/5)</f>
        <v/>
      </c>
      <c r="J291" s="33">
        <f>_xlfn.LET(_xlpm.inicio,MAX($D291,J$3),_xlpm.fin,MIN($E291,J$4),_xlpm.feriados,IF($H291="CO",FER_CO,FER_EC),_xlpm.dias,IF(_xlpm.inicio&gt;_xlpm.fin,0,NETWORKDAYS(_xlpm.inicio,_xlpm.fin,_xlpm.feriados)),_xlpm.factor,IF($G291="Probable",IF(Parametros!$B$6="Sí",1,0),1),IF(OR($A291="",$D291="",$E291=""),0,_xlpm.dias*$I291*_xlpm.factor))</f>
        <v/>
      </c>
      <c r="K291" s="33">
        <f>_xlfn.LET(_xlpm.inicio,MAX($D291,K$3),_xlpm.fin,MIN($E291,K$4),_xlpm.feriados,IF($H291="CO",FER_CO,FER_EC),_xlpm.dias,IF(_xlpm.inicio&gt;_xlpm.fin,0,NETWORKDAYS(_xlpm.inicio,_xlpm.fin,_xlpm.feriados)),_xlpm.factor,IF($G291="Probable",IF(Parametros!$B$6="Sí",1,0),1),IF(OR($A291="",$D291="",$E291=""),0,_xlpm.dias*$I291*_xlpm.factor))</f>
        <v/>
      </c>
      <c r="L291" s="33">
        <f>_xlfn.LET(_xlpm.inicio,MAX($D291,L$3),_xlpm.fin,MIN($E291,L$4),_xlpm.feriados,IF($H291="CO",FER_CO,FER_EC),_xlpm.dias,IF(_xlpm.inicio&gt;_xlpm.fin,0,NETWORKDAYS(_xlpm.inicio,_xlpm.fin,_xlpm.feriados)),_xlpm.factor,IF($G291="Probable",IF(Parametros!$B$6="Sí",1,0),1),IF(OR($A291="",$D291="",$E291=""),0,_xlpm.dias*$I291*_xlpm.factor))</f>
        <v/>
      </c>
      <c r="M291" s="33">
        <f>_xlfn.LET(_xlpm.inicio,MAX($D291,M$3),_xlpm.fin,MIN($E291,M$4),_xlpm.feriados,IF($H291="CO",FER_CO,FER_EC),_xlpm.dias,IF(_xlpm.inicio&gt;_xlpm.fin,0,NETWORKDAYS(_xlpm.inicio,_xlpm.fin,_xlpm.feriados)),_xlpm.factor,IF($G291="Probable",IF(Parametros!$B$6="Sí",1,0),1),IF(OR($A291="",$D291="",$E291=""),0,_xlpm.dias*$I291*_xlpm.factor))</f>
        <v/>
      </c>
      <c r="N291" s="33">
        <f>_xlfn.LET(_xlpm.inicio,MAX($D291,N$3),_xlpm.fin,MIN($E291,N$4),_xlpm.feriados,IF($H291="CO",FER_CO,FER_EC),_xlpm.dias,IF(_xlpm.inicio&gt;_xlpm.fin,0,NETWORKDAYS(_xlpm.inicio,_xlpm.fin,_xlpm.feriados)),_xlpm.factor,IF($G291="Probable",IF(Parametros!$B$6="Sí",1,0),1),IF(OR($A291="",$D291="",$E291=""),0,_xlpm.dias*$I291*_xlpm.factor))</f>
        <v/>
      </c>
      <c r="O291" s="33">
        <f>_xlfn.LET(_xlpm.inicio,MAX($D291,O$3),_xlpm.fin,MIN($E291,O$4),_xlpm.feriados,IF($H291="CO",FER_CO,FER_EC),_xlpm.dias,IF(_xlpm.inicio&gt;_xlpm.fin,0,NETWORKDAYS(_xlpm.inicio,_xlpm.fin,_xlpm.feriados)),_xlpm.factor,IF($G291="Probable",IF(Parametros!$B$6="Sí",1,0),1),IF(OR($A291="",$D291="",$E291=""),0,_xlpm.dias*$I291*_xlpm.factor))</f>
        <v/>
      </c>
      <c r="P291" s="34">
        <f>_xlfn.LET(_xlpm.horas,J291,_xlpm.feriados,IF($H291="CO",FER_CO,FER_EC),_xlpm.capacidad,NETWORKDAYS(J$3,J$4,_xlpm.feriados)*INDEX(Consultores!$C$6:$C$65,MATCH($A291,Consultores!$A$6:$A$65,0)),IF(_xlpm.horas=0,"",IFERROR(_xlpm.horas/_xlpm.capacidad,"")))</f>
        <v/>
      </c>
      <c r="Q291" s="34">
        <f>_xlfn.LET(_xlpm.horas,K291,_xlpm.feriados,IF($H291="CO",FER_CO,FER_EC),_xlpm.capacidad,NETWORKDAYS(K$3,K$4,_xlpm.feriados)*INDEX(Consultores!$C$6:$C$65,MATCH($A291,Consultores!$A$6:$A$65,0)),IF(_xlpm.horas=0,"",IFERROR(_xlpm.horas/_xlpm.capacidad,"")))</f>
        <v/>
      </c>
      <c r="R291" s="34">
        <f>_xlfn.LET(_xlpm.horas,L291,_xlpm.feriados,IF($H291="CO",FER_CO,FER_EC),_xlpm.capacidad,NETWORKDAYS(L$3,L$4,_xlpm.feriados)*INDEX(Consultores!$C$6:$C$65,MATCH($A291,Consultores!$A$6:$A$65,0)),IF(_xlpm.horas=0,"",IFERROR(_xlpm.horas/_xlpm.capacidad,"")))</f>
        <v/>
      </c>
      <c r="S291" s="34">
        <f>_xlfn.LET(_xlpm.horas,M291,_xlpm.feriados,IF($H291="CO",FER_CO,FER_EC),_xlpm.capacidad,NETWORKDAYS(M$3,M$4,_xlpm.feriados)*INDEX(Consultores!$C$6:$C$65,MATCH($A291,Consultores!$A$6:$A$65,0)),IF(_xlpm.horas=0,"",IFERROR(_xlpm.horas/_xlpm.capacidad,"")))</f>
        <v/>
      </c>
      <c r="T291" s="34">
        <f>_xlfn.LET(_xlpm.horas,N291,_xlpm.feriados,IF($H291="CO",FER_CO,FER_EC),_xlpm.capacidad,NETWORKDAYS(N$3,N$4,_xlpm.feriados)*INDEX(Consultores!$C$6:$C$65,MATCH($A291,Consultores!$A$6:$A$65,0)),IF(_xlpm.horas=0,"",IFERROR(_xlpm.horas/_xlpm.capacidad,"")))</f>
        <v/>
      </c>
      <c r="U291" s="34">
        <f>_xlfn.LET(_xlpm.horas,O291,_xlpm.feriados,IF($H291="CO",FER_CO,FER_EC),_xlpm.capacidad,NETWORKDAYS(O$3,O$4,_xlpm.feriados)*INDEX(Consultores!$C$6:$C$65,MATCH($A291,Consultores!$A$6:$A$65,0)),IF(_xlpm.horas=0,"",IFERROR(_xlpm.horas/_xlpm.capacidad,"")))</f>
        <v/>
      </c>
    </row>
    <row r="292">
      <c r="A292" s="25" t="n"/>
      <c r="B292" s="25" t="n"/>
      <c r="C292" s="25" t="n"/>
      <c r="D292" s="30" t="n"/>
      <c r="E292" s="30" t="n"/>
      <c r="F292" s="26" t="n"/>
      <c r="G292" s="25" t="n"/>
      <c r="H292" s="31">
        <f>IF($A292="","",IFERROR(INDEX(Consultores!$B$6:$B$65,MATCH($A292,Consultores!$A$6:$A$65,0)),"No existe"))</f>
        <v/>
      </c>
      <c r="I292" s="32">
        <f>IF($F292="",0,$F292/5)</f>
        <v/>
      </c>
      <c r="J292" s="33">
        <f>_xlfn.LET(_xlpm.inicio,MAX($D292,J$3),_xlpm.fin,MIN($E292,J$4),_xlpm.feriados,IF($H292="CO",FER_CO,FER_EC),_xlpm.dias,IF(_xlpm.inicio&gt;_xlpm.fin,0,NETWORKDAYS(_xlpm.inicio,_xlpm.fin,_xlpm.feriados)),_xlpm.factor,IF($G292="Probable",IF(Parametros!$B$6="Sí",1,0),1),IF(OR($A292="",$D292="",$E292=""),0,_xlpm.dias*$I292*_xlpm.factor))</f>
        <v/>
      </c>
      <c r="K292" s="33">
        <f>_xlfn.LET(_xlpm.inicio,MAX($D292,K$3),_xlpm.fin,MIN($E292,K$4),_xlpm.feriados,IF($H292="CO",FER_CO,FER_EC),_xlpm.dias,IF(_xlpm.inicio&gt;_xlpm.fin,0,NETWORKDAYS(_xlpm.inicio,_xlpm.fin,_xlpm.feriados)),_xlpm.factor,IF($G292="Probable",IF(Parametros!$B$6="Sí",1,0),1),IF(OR($A292="",$D292="",$E292=""),0,_xlpm.dias*$I292*_xlpm.factor))</f>
        <v/>
      </c>
      <c r="L292" s="33">
        <f>_xlfn.LET(_xlpm.inicio,MAX($D292,L$3),_xlpm.fin,MIN($E292,L$4),_xlpm.feriados,IF($H292="CO",FER_CO,FER_EC),_xlpm.dias,IF(_xlpm.inicio&gt;_xlpm.fin,0,NETWORKDAYS(_xlpm.inicio,_xlpm.fin,_xlpm.feriados)),_xlpm.factor,IF($G292="Probable",IF(Parametros!$B$6="Sí",1,0),1),IF(OR($A292="",$D292="",$E292=""),0,_xlpm.dias*$I292*_xlpm.factor))</f>
        <v/>
      </c>
      <c r="M292" s="33">
        <f>_xlfn.LET(_xlpm.inicio,MAX($D292,M$3),_xlpm.fin,MIN($E292,M$4),_xlpm.feriados,IF($H292="CO",FER_CO,FER_EC),_xlpm.dias,IF(_xlpm.inicio&gt;_xlpm.fin,0,NETWORKDAYS(_xlpm.inicio,_xlpm.fin,_xlpm.feriados)),_xlpm.factor,IF($G292="Probable",IF(Parametros!$B$6="Sí",1,0),1),IF(OR($A292="",$D292="",$E292=""),0,_xlpm.dias*$I292*_xlpm.factor))</f>
        <v/>
      </c>
      <c r="N292" s="33">
        <f>_xlfn.LET(_xlpm.inicio,MAX($D292,N$3),_xlpm.fin,MIN($E292,N$4),_xlpm.feriados,IF($H292="CO",FER_CO,FER_EC),_xlpm.dias,IF(_xlpm.inicio&gt;_xlpm.fin,0,NETWORKDAYS(_xlpm.inicio,_xlpm.fin,_xlpm.feriados)),_xlpm.factor,IF($G292="Probable",IF(Parametros!$B$6="Sí",1,0),1),IF(OR($A292="",$D292="",$E292=""),0,_xlpm.dias*$I292*_xlpm.factor))</f>
        <v/>
      </c>
      <c r="O292" s="33">
        <f>_xlfn.LET(_xlpm.inicio,MAX($D292,O$3),_xlpm.fin,MIN($E292,O$4),_xlpm.feriados,IF($H292="CO",FER_CO,FER_EC),_xlpm.dias,IF(_xlpm.inicio&gt;_xlpm.fin,0,NETWORKDAYS(_xlpm.inicio,_xlpm.fin,_xlpm.feriados)),_xlpm.factor,IF($G292="Probable",IF(Parametros!$B$6="Sí",1,0),1),IF(OR($A292="",$D292="",$E292=""),0,_xlpm.dias*$I292*_xlpm.factor))</f>
        <v/>
      </c>
      <c r="P292" s="34">
        <f>_xlfn.LET(_xlpm.horas,J292,_xlpm.feriados,IF($H292="CO",FER_CO,FER_EC),_xlpm.capacidad,NETWORKDAYS(J$3,J$4,_xlpm.feriados)*INDEX(Consultores!$C$6:$C$65,MATCH($A292,Consultores!$A$6:$A$65,0)),IF(_xlpm.horas=0,"",IFERROR(_xlpm.horas/_xlpm.capacidad,"")))</f>
        <v/>
      </c>
      <c r="Q292" s="34">
        <f>_xlfn.LET(_xlpm.horas,K292,_xlpm.feriados,IF($H292="CO",FER_CO,FER_EC),_xlpm.capacidad,NETWORKDAYS(K$3,K$4,_xlpm.feriados)*INDEX(Consultores!$C$6:$C$65,MATCH($A292,Consultores!$A$6:$A$65,0)),IF(_xlpm.horas=0,"",IFERROR(_xlpm.horas/_xlpm.capacidad,"")))</f>
        <v/>
      </c>
      <c r="R292" s="34">
        <f>_xlfn.LET(_xlpm.horas,L292,_xlpm.feriados,IF($H292="CO",FER_CO,FER_EC),_xlpm.capacidad,NETWORKDAYS(L$3,L$4,_xlpm.feriados)*INDEX(Consultores!$C$6:$C$65,MATCH($A292,Consultores!$A$6:$A$65,0)),IF(_xlpm.horas=0,"",IFERROR(_xlpm.horas/_xlpm.capacidad,"")))</f>
        <v/>
      </c>
      <c r="S292" s="34">
        <f>_xlfn.LET(_xlpm.horas,M292,_xlpm.feriados,IF($H292="CO",FER_CO,FER_EC),_xlpm.capacidad,NETWORKDAYS(M$3,M$4,_xlpm.feriados)*INDEX(Consultores!$C$6:$C$65,MATCH($A292,Consultores!$A$6:$A$65,0)),IF(_xlpm.horas=0,"",IFERROR(_xlpm.horas/_xlpm.capacidad,"")))</f>
        <v/>
      </c>
      <c r="T292" s="34">
        <f>_xlfn.LET(_xlpm.horas,N292,_xlpm.feriados,IF($H292="CO",FER_CO,FER_EC),_xlpm.capacidad,NETWORKDAYS(N$3,N$4,_xlpm.feriados)*INDEX(Consultores!$C$6:$C$65,MATCH($A292,Consultores!$A$6:$A$65,0)),IF(_xlpm.horas=0,"",IFERROR(_xlpm.horas/_xlpm.capacidad,"")))</f>
        <v/>
      </c>
      <c r="U292" s="34">
        <f>_xlfn.LET(_xlpm.horas,O292,_xlpm.feriados,IF($H292="CO",FER_CO,FER_EC),_xlpm.capacidad,NETWORKDAYS(O$3,O$4,_xlpm.feriados)*INDEX(Consultores!$C$6:$C$65,MATCH($A292,Consultores!$A$6:$A$65,0)),IF(_xlpm.horas=0,"",IFERROR(_xlpm.horas/_xlpm.capacidad,"")))</f>
        <v/>
      </c>
    </row>
    <row r="293">
      <c r="A293" s="25" t="n"/>
      <c r="B293" s="25" t="n"/>
      <c r="C293" s="25" t="n"/>
      <c r="D293" s="30" t="n"/>
      <c r="E293" s="30" t="n"/>
      <c r="F293" s="26" t="n"/>
      <c r="G293" s="25" t="n"/>
      <c r="H293" s="31">
        <f>IF($A293="","",IFERROR(INDEX(Consultores!$B$6:$B$65,MATCH($A293,Consultores!$A$6:$A$65,0)),"No existe"))</f>
        <v/>
      </c>
      <c r="I293" s="32">
        <f>IF($F293="",0,$F293/5)</f>
        <v/>
      </c>
      <c r="J293" s="33">
        <f>_xlfn.LET(_xlpm.inicio,MAX($D293,J$3),_xlpm.fin,MIN($E293,J$4),_xlpm.feriados,IF($H293="CO",FER_CO,FER_EC),_xlpm.dias,IF(_xlpm.inicio&gt;_xlpm.fin,0,NETWORKDAYS(_xlpm.inicio,_xlpm.fin,_xlpm.feriados)),_xlpm.factor,IF($G293="Probable",IF(Parametros!$B$6="Sí",1,0),1),IF(OR($A293="",$D293="",$E293=""),0,_xlpm.dias*$I293*_xlpm.factor))</f>
        <v/>
      </c>
      <c r="K293" s="33">
        <f>_xlfn.LET(_xlpm.inicio,MAX($D293,K$3),_xlpm.fin,MIN($E293,K$4),_xlpm.feriados,IF($H293="CO",FER_CO,FER_EC),_xlpm.dias,IF(_xlpm.inicio&gt;_xlpm.fin,0,NETWORKDAYS(_xlpm.inicio,_xlpm.fin,_xlpm.feriados)),_xlpm.factor,IF($G293="Probable",IF(Parametros!$B$6="Sí",1,0),1),IF(OR($A293="",$D293="",$E293=""),0,_xlpm.dias*$I293*_xlpm.factor))</f>
        <v/>
      </c>
      <c r="L293" s="33">
        <f>_xlfn.LET(_xlpm.inicio,MAX($D293,L$3),_xlpm.fin,MIN($E293,L$4),_xlpm.feriados,IF($H293="CO",FER_CO,FER_EC),_xlpm.dias,IF(_xlpm.inicio&gt;_xlpm.fin,0,NETWORKDAYS(_xlpm.inicio,_xlpm.fin,_xlpm.feriados)),_xlpm.factor,IF($G293="Probable",IF(Parametros!$B$6="Sí",1,0),1),IF(OR($A293="",$D293="",$E293=""),0,_xlpm.dias*$I293*_xlpm.factor))</f>
        <v/>
      </c>
      <c r="M293" s="33">
        <f>_xlfn.LET(_xlpm.inicio,MAX($D293,M$3),_xlpm.fin,MIN($E293,M$4),_xlpm.feriados,IF($H293="CO",FER_CO,FER_EC),_xlpm.dias,IF(_xlpm.inicio&gt;_xlpm.fin,0,NETWORKDAYS(_xlpm.inicio,_xlpm.fin,_xlpm.feriados)),_xlpm.factor,IF($G293="Probable",IF(Parametros!$B$6="Sí",1,0),1),IF(OR($A293="",$D293="",$E293=""),0,_xlpm.dias*$I293*_xlpm.factor))</f>
        <v/>
      </c>
      <c r="N293" s="33">
        <f>_xlfn.LET(_xlpm.inicio,MAX($D293,N$3),_xlpm.fin,MIN($E293,N$4),_xlpm.feriados,IF($H293="CO",FER_CO,FER_EC),_xlpm.dias,IF(_xlpm.inicio&gt;_xlpm.fin,0,NETWORKDAYS(_xlpm.inicio,_xlpm.fin,_xlpm.feriados)),_xlpm.factor,IF($G293="Probable",IF(Parametros!$B$6="Sí",1,0),1),IF(OR($A293="",$D293="",$E293=""),0,_xlpm.dias*$I293*_xlpm.factor))</f>
        <v/>
      </c>
      <c r="O293" s="33">
        <f>_xlfn.LET(_xlpm.inicio,MAX($D293,O$3),_xlpm.fin,MIN($E293,O$4),_xlpm.feriados,IF($H293="CO",FER_CO,FER_EC),_xlpm.dias,IF(_xlpm.inicio&gt;_xlpm.fin,0,NETWORKDAYS(_xlpm.inicio,_xlpm.fin,_xlpm.feriados)),_xlpm.factor,IF($G293="Probable",IF(Parametros!$B$6="Sí",1,0),1),IF(OR($A293="",$D293="",$E293=""),0,_xlpm.dias*$I293*_xlpm.factor))</f>
        <v/>
      </c>
      <c r="P293" s="34">
        <f>_xlfn.LET(_xlpm.horas,J293,_xlpm.feriados,IF($H293="CO",FER_CO,FER_EC),_xlpm.capacidad,NETWORKDAYS(J$3,J$4,_xlpm.feriados)*INDEX(Consultores!$C$6:$C$65,MATCH($A293,Consultores!$A$6:$A$65,0)),IF(_xlpm.horas=0,"",IFERROR(_xlpm.horas/_xlpm.capacidad,"")))</f>
        <v/>
      </c>
      <c r="Q293" s="34">
        <f>_xlfn.LET(_xlpm.horas,K293,_xlpm.feriados,IF($H293="CO",FER_CO,FER_EC),_xlpm.capacidad,NETWORKDAYS(K$3,K$4,_xlpm.feriados)*INDEX(Consultores!$C$6:$C$65,MATCH($A293,Consultores!$A$6:$A$65,0)),IF(_xlpm.horas=0,"",IFERROR(_xlpm.horas/_xlpm.capacidad,"")))</f>
        <v/>
      </c>
      <c r="R293" s="34">
        <f>_xlfn.LET(_xlpm.horas,L293,_xlpm.feriados,IF($H293="CO",FER_CO,FER_EC),_xlpm.capacidad,NETWORKDAYS(L$3,L$4,_xlpm.feriados)*INDEX(Consultores!$C$6:$C$65,MATCH($A293,Consultores!$A$6:$A$65,0)),IF(_xlpm.horas=0,"",IFERROR(_xlpm.horas/_xlpm.capacidad,"")))</f>
        <v/>
      </c>
      <c r="S293" s="34">
        <f>_xlfn.LET(_xlpm.horas,M293,_xlpm.feriados,IF($H293="CO",FER_CO,FER_EC),_xlpm.capacidad,NETWORKDAYS(M$3,M$4,_xlpm.feriados)*INDEX(Consultores!$C$6:$C$65,MATCH($A293,Consultores!$A$6:$A$65,0)),IF(_xlpm.horas=0,"",IFERROR(_xlpm.horas/_xlpm.capacidad,"")))</f>
        <v/>
      </c>
      <c r="T293" s="34">
        <f>_xlfn.LET(_xlpm.horas,N293,_xlpm.feriados,IF($H293="CO",FER_CO,FER_EC),_xlpm.capacidad,NETWORKDAYS(N$3,N$4,_xlpm.feriados)*INDEX(Consultores!$C$6:$C$65,MATCH($A293,Consultores!$A$6:$A$65,0)),IF(_xlpm.horas=0,"",IFERROR(_xlpm.horas/_xlpm.capacidad,"")))</f>
        <v/>
      </c>
      <c r="U293" s="34">
        <f>_xlfn.LET(_xlpm.horas,O293,_xlpm.feriados,IF($H293="CO",FER_CO,FER_EC),_xlpm.capacidad,NETWORKDAYS(O$3,O$4,_xlpm.feriados)*INDEX(Consultores!$C$6:$C$65,MATCH($A293,Consultores!$A$6:$A$65,0)),IF(_xlpm.horas=0,"",IFERROR(_xlpm.horas/_xlpm.capacidad,"")))</f>
        <v/>
      </c>
    </row>
    <row r="294">
      <c r="A294" s="25" t="n"/>
      <c r="B294" s="25" t="n"/>
      <c r="C294" s="25" t="n"/>
      <c r="D294" s="30" t="n"/>
      <c r="E294" s="30" t="n"/>
      <c r="F294" s="26" t="n"/>
      <c r="G294" s="25" t="n"/>
      <c r="H294" s="31">
        <f>IF($A294="","",IFERROR(INDEX(Consultores!$B$6:$B$65,MATCH($A294,Consultores!$A$6:$A$65,0)),"No existe"))</f>
        <v/>
      </c>
      <c r="I294" s="32">
        <f>IF($F294="",0,$F294/5)</f>
        <v/>
      </c>
      <c r="J294" s="33">
        <f>_xlfn.LET(_xlpm.inicio,MAX($D294,J$3),_xlpm.fin,MIN($E294,J$4),_xlpm.feriados,IF($H294="CO",FER_CO,FER_EC),_xlpm.dias,IF(_xlpm.inicio&gt;_xlpm.fin,0,NETWORKDAYS(_xlpm.inicio,_xlpm.fin,_xlpm.feriados)),_xlpm.factor,IF($G294="Probable",IF(Parametros!$B$6="Sí",1,0),1),IF(OR($A294="",$D294="",$E294=""),0,_xlpm.dias*$I294*_xlpm.factor))</f>
        <v/>
      </c>
      <c r="K294" s="33">
        <f>_xlfn.LET(_xlpm.inicio,MAX($D294,K$3),_xlpm.fin,MIN($E294,K$4),_xlpm.feriados,IF($H294="CO",FER_CO,FER_EC),_xlpm.dias,IF(_xlpm.inicio&gt;_xlpm.fin,0,NETWORKDAYS(_xlpm.inicio,_xlpm.fin,_xlpm.feriados)),_xlpm.factor,IF($G294="Probable",IF(Parametros!$B$6="Sí",1,0),1),IF(OR($A294="",$D294="",$E294=""),0,_xlpm.dias*$I294*_xlpm.factor))</f>
        <v/>
      </c>
      <c r="L294" s="33">
        <f>_xlfn.LET(_xlpm.inicio,MAX($D294,L$3),_xlpm.fin,MIN($E294,L$4),_xlpm.feriados,IF($H294="CO",FER_CO,FER_EC),_xlpm.dias,IF(_xlpm.inicio&gt;_xlpm.fin,0,NETWORKDAYS(_xlpm.inicio,_xlpm.fin,_xlpm.feriados)),_xlpm.factor,IF($G294="Probable",IF(Parametros!$B$6="Sí",1,0),1),IF(OR($A294="",$D294="",$E294=""),0,_xlpm.dias*$I294*_xlpm.factor))</f>
        <v/>
      </c>
      <c r="M294" s="33">
        <f>_xlfn.LET(_xlpm.inicio,MAX($D294,M$3),_xlpm.fin,MIN($E294,M$4),_xlpm.feriados,IF($H294="CO",FER_CO,FER_EC),_xlpm.dias,IF(_xlpm.inicio&gt;_xlpm.fin,0,NETWORKDAYS(_xlpm.inicio,_xlpm.fin,_xlpm.feriados)),_xlpm.factor,IF($G294="Probable",IF(Parametros!$B$6="Sí",1,0),1),IF(OR($A294="",$D294="",$E294=""),0,_xlpm.dias*$I294*_xlpm.factor))</f>
        <v/>
      </c>
      <c r="N294" s="33">
        <f>_xlfn.LET(_xlpm.inicio,MAX($D294,N$3),_xlpm.fin,MIN($E294,N$4),_xlpm.feriados,IF($H294="CO",FER_CO,FER_EC),_xlpm.dias,IF(_xlpm.inicio&gt;_xlpm.fin,0,NETWORKDAYS(_xlpm.inicio,_xlpm.fin,_xlpm.feriados)),_xlpm.factor,IF($G294="Probable",IF(Parametros!$B$6="Sí",1,0),1),IF(OR($A294="",$D294="",$E294=""),0,_xlpm.dias*$I294*_xlpm.factor))</f>
        <v/>
      </c>
      <c r="O294" s="33">
        <f>_xlfn.LET(_xlpm.inicio,MAX($D294,O$3),_xlpm.fin,MIN($E294,O$4),_xlpm.feriados,IF($H294="CO",FER_CO,FER_EC),_xlpm.dias,IF(_xlpm.inicio&gt;_xlpm.fin,0,NETWORKDAYS(_xlpm.inicio,_xlpm.fin,_xlpm.feriados)),_xlpm.factor,IF($G294="Probable",IF(Parametros!$B$6="Sí",1,0),1),IF(OR($A294="",$D294="",$E294=""),0,_xlpm.dias*$I294*_xlpm.factor))</f>
        <v/>
      </c>
      <c r="P294" s="34">
        <f>_xlfn.LET(_xlpm.horas,J294,_xlpm.feriados,IF($H294="CO",FER_CO,FER_EC),_xlpm.capacidad,NETWORKDAYS(J$3,J$4,_xlpm.feriados)*INDEX(Consultores!$C$6:$C$65,MATCH($A294,Consultores!$A$6:$A$65,0)),IF(_xlpm.horas=0,"",IFERROR(_xlpm.horas/_xlpm.capacidad,"")))</f>
        <v/>
      </c>
      <c r="Q294" s="34">
        <f>_xlfn.LET(_xlpm.horas,K294,_xlpm.feriados,IF($H294="CO",FER_CO,FER_EC),_xlpm.capacidad,NETWORKDAYS(K$3,K$4,_xlpm.feriados)*INDEX(Consultores!$C$6:$C$65,MATCH($A294,Consultores!$A$6:$A$65,0)),IF(_xlpm.horas=0,"",IFERROR(_xlpm.horas/_xlpm.capacidad,"")))</f>
        <v/>
      </c>
      <c r="R294" s="34">
        <f>_xlfn.LET(_xlpm.horas,L294,_xlpm.feriados,IF($H294="CO",FER_CO,FER_EC),_xlpm.capacidad,NETWORKDAYS(L$3,L$4,_xlpm.feriados)*INDEX(Consultores!$C$6:$C$65,MATCH($A294,Consultores!$A$6:$A$65,0)),IF(_xlpm.horas=0,"",IFERROR(_xlpm.horas/_xlpm.capacidad,"")))</f>
        <v/>
      </c>
      <c r="S294" s="34">
        <f>_xlfn.LET(_xlpm.horas,M294,_xlpm.feriados,IF($H294="CO",FER_CO,FER_EC),_xlpm.capacidad,NETWORKDAYS(M$3,M$4,_xlpm.feriados)*INDEX(Consultores!$C$6:$C$65,MATCH($A294,Consultores!$A$6:$A$65,0)),IF(_xlpm.horas=0,"",IFERROR(_xlpm.horas/_xlpm.capacidad,"")))</f>
        <v/>
      </c>
      <c r="T294" s="34">
        <f>_xlfn.LET(_xlpm.horas,N294,_xlpm.feriados,IF($H294="CO",FER_CO,FER_EC),_xlpm.capacidad,NETWORKDAYS(N$3,N$4,_xlpm.feriados)*INDEX(Consultores!$C$6:$C$65,MATCH($A294,Consultores!$A$6:$A$65,0)),IF(_xlpm.horas=0,"",IFERROR(_xlpm.horas/_xlpm.capacidad,"")))</f>
        <v/>
      </c>
      <c r="U294" s="34">
        <f>_xlfn.LET(_xlpm.horas,O294,_xlpm.feriados,IF($H294="CO",FER_CO,FER_EC),_xlpm.capacidad,NETWORKDAYS(O$3,O$4,_xlpm.feriados)*INDEX(Consultores!$C$6:$C$65,MATCH($A294,Consultores!$A$6:$A$65,0)),IF(_xlpm.horas=0,"",IFERROR(_xlpm.horas/_xlpm.capacidad,"")))</f>
        <v/>
      </c>
    </row>
    <row r="295">
      <c r="A295" s="25" t="n"/>
      <c r="B295" s="25" t="n"/>
      <c r="C295" s="25" t="n"/>
      <c r="D295" s="30" t="n"/>
      <c r="E295" s="30" t="n"/>
      <c r="F295" s="26" t="n"/>
      <c r="G295" s="25" t="n"/>
      <c r="H295" s="31">
        <f>IF($A295="","",IFERROR(INDEX(Consultores!$B$6:$B$65,MATCH($A295,Consultores!$A$6:$A$65,0)),"No existe"))</f>
        <v/>
      </c>
      <c r="I295" s="32">
        <f>IF($F295="",0,$F295/5)</f>
        <v/>
      </c>
      <c r="J295" s="33">
        <f>_xlfn.LET(_xlpm.inicio,MAX($D295,J$3),_xlpm.fin,MIN($E295,J$4),_xlpm.feriados,IF($H295="CO",FER_CO,FER_EC),_xlpm.dias,IF(_xlpm.inicio&gt;_xlpm.fin,0,NETWORKDAYS(_xlpm.inicio,_xlpm.fin,_xlpm.feriados)),_xlpm.factor,IF($G295="Probable",IF(Parametros!$B$6="Sí",1,0),1),IF(OR($A295="",$D295="",$E295=""),0,_xlpm.dias*$I295*_xlpm.factor))</f>
        <v/>
      </c>
      <c r="K295" s="33">
        <f>_xlfn.LET(_xlpm.inicio,MAX($D295,K$3),_xlpm.fin,MIN($E295,K$4),_xlpm.feriados,IF($H295="CO",FER_CO,FER_EC),_xlpm.dias,IF(_xlpm.inicio&gt;_xlpm.fin,0,NETWORKDAYS(_xlpm.inicio,_xlpm.fin,_xlpm.feriados)),_xlpm.factor,IF($G295="Probable",IF(Parametros!$B$6="Sí",1,0),1),IF(OR($A295="",$D295="",$E295=""),0,_xlpm.dias*$I295*_xlpm.factor))</f>
        <v/>
      </c>
      <c r="L295" s="33">
        <f>_xlfn.LET(_xlpm.inicio,MAX($D295,L$3),_xlpm.fin,MIN($E295,L$4),_xlpm.feriados,IF($H295="CO",FER_CO,FER_EC),_xlpm.dias,IF(_xlpm.inicio&gt;_xlpm.fin,0,NETWORKDAYS(_xlpm.inicio,_xlpm.fin,_xlpm.feriados)),_xlpm.factor,IF($G295="Probable",IF(Parametros!$B$6="Sí",1,0),1),IF(OR($A295="",$D295="",$E295=""),0,_xlpm.dias*$I295*_xlpm.factor))</f>
        <v/>
      </c>
      <c r="M295" s="33">
        <f>_xlfn.LET(_xlpm.inicio,MAX($D295,M$3),_xlpm.fin,MIN($E295,M$4),_xlpm.feriados,IF($H295="CO",FER_CO,FER_EC),_xlpm.dias,IF(_xlpm.inicio&gt;_xlpm.fin,0,NETWORKDAYS(_xlpm.inicio,_xlpm.fin,_xlpm.feriados)),_xlpm.factor,IF($G295="Probable",IF(Parametros!$B$6="Sí",1,0),1),IF(OR($A295="",$D295="",$E295=""),0,_xlpm.dias*$I295*_xlpm.factor))</f>
        <v/>
      </c>
      <c r="N295" s="33">
        <f>_xlfn.LET(_xlpm.inicio,MAX($D295,N$3),_xlpm.fin,MIN($E295,N$4),_xlpm.feriados,IF($H295="CO",FER_CO,FER_EC),_xlpm.dias,IF(_xlpm.inicio&gt;_xlpm.fin,0,NETWORKDAYS(_xlpm.inicio,_xlpm.fin,_xlpm.feriados)),_xlpm.factor,IF($G295="Probable",IF(Parametros!$B$6="Sí",1,0),1),IF(OR($A295="",$D295="",$E295=""),0,_xlpm.dias*$I295*_xlpm.factor))</f>
        <v/>
      </c>
      <c r="O295" s="33">
        <f>_xlfn.LET(_xlpm.inicio,MAX($D295,O$3),_xlpm.fin,MIN($E295,O$4),_xlpm.feriados,IF($H295="CO",FER_CO,FER_EC),_xlpm.dias,IF(_xlpm.inicio&gt;_xlpm.fin,0,NETWORKDAYS(_xlpm.inicio,_xlpm.fin,_xlpm.feriados)),_xlpm.factor,IF($G295="Probable",IF(Parametros!$B$6="Sí",1,0),1),IF(OR($A295="",$D295="",$E295=""),0,_xlpm.dias*$I295*_xlpm.factor))</f>
        <v/>
      </c>
      <c r="P295" s="34">
        <f>_xlfn.LET(_xlpm.horas,J295,_xlpm.feriados,IF($H295="CO",FER_CO,FER_EC),_xlpm.capacidad,NETWORKDAYS(J$3,J$4,_xlpm.feriados)*INDEX(Consultores!$C$6:$C$65,MATCH($A295,Consultores!$A$6:$A$65,0)),IF(_xlpm.horas=0,"",IFERROR(_xlpm.horas/_xlpm.capacidad,"")))</f>
        <v/>
      </c>
      <c r="Q295" s="34">
        <f>_xlfn.LET(_xlpm.horas,K295,_xlpm.feriados,IF($H295="CO",FER_CO,FER_EC),_xlpm.capacidad,NETWORKDAYS(K$3,K$4,_xlpm.feriados)*INDEX(Consultores!$C$6:$C$65,MATCH($A295,Consultores!$A$6:$A$65,0)),IF(_xlpm.horas=0,"",IFERROR(_xlpm.horas/_xlpm.capacidad,"")))</f>
        <v/>
      </c>
      <c r="R295" s="34">
        <f>_xlfn.LET(_xlpm.horas,L295,_xlpm.feriados,IF($H295="CO",FER_CO,FER_EC),_xlpm.capacidad,NETWORKDAYS(L$3,L$4,_xlpm.feriados)*INDEX(Consultores!$C$6:$C$65,MATCH($A295,Consultores!$A$6:$A$65,0)),IF(_xlpm.horas=0,"",IFERROR(_xlpm.horas/_xlpm.capacidad,"")))</f>
        <v/>
      </c>
      <c r="S295" s="34">
        <f>_xlfn.LET(_xlpm.horas,M295,_xlpm.feriados,IF($H295="CO",FER_CO,FER_EC),_xlpm.capacidad,NETWORKDAYS(M$3,M$4,_xlpm.feriados)*INDEX(Consultores!$C$6:$C$65,MATCH($A295,Consultores!$A$6:$A$65,0)),IF(_xlpm.horas=0,"",IFERROR(_xlpm.horas/_xlpm.capacidad,"")))</f>
        <v/>
      </c>
      <c r="T295" s="34">
        <f>_xlfn.LET(_xlpm.horas,N295,_xlpm.feriados,IF($H295="CO",FER_CO,FER_EC),_xlpm.capacidad,NETWORKDAYS(N$3,N$4,_xlpm.feriados)*INDEX(Consultores!$C$6:$C$65,MATCH($A295,Consultores!$A$6:$A$65,0)),IF(_xlpm.horas=0,"",IFERROR(_xlpm.horas/_xlpm.capacidad,"")))</f>
        <v/>
      </c>
      <c r="U295" s="34">
        <f>_xlfn.LET(_xlpm.horas,O295,_xlpm.feriados,IF($H295="CO",FER_CO,FER_EC),_xlpm.capacidad,NETWORKDAYS(O$3,O$4,_xlpm.feriados)*INDEX(Consultores!$C$6:$C$65,MATCH($A295,Consultores!$A$6:$A$65,0)),IF(_xlpm.horas=0,"",IFERROR(_xlpm.horas/_xlpm.capacidad,"")))</f>
        <v/>
      </c>
    </row>
    <row r="296">
      <c r="A296" s="25" t="n"/>
      <c r="B296" s="25" t="n"/>
      <c r="C296" s="25" t="n"/>
      <c r="D296" s="30" t="n"/>
      <c r="E296" s="30" t="n"/>
      <c r="F296" s="26" t="n"/>
      <c r="G296" s="25" t="n"/>
      <c r="H296" s="31">
        <f>IF($A296="","",IFERROR(INDEX(Consultores!$B$6:$B$65,MATCH($A296,Consultores!$A$6:$A$65,0)),"No existe"))</f>
        <v/>
      </c>
      <c r="I296" s="32">
        <f>IF($F296="",0,$F296/5)</f>
        <v/>
      </c>
      <c r="J296" s="33">
        <f>_xlfn.LET(_xlpm.inicio,MAX($D296,J$3),_xlpm.fin,MIN($E296,J$4),_xlpm.feriados,IF($H296="CO",FER_CO,FER_EC),_xlpm.dias,IF(_xlpm.inicio&gt;_xlpm.fin,0,NETWORKDAYS(_xlpm.inicio,_xlpm.fin,_xlpm.feriados)),_xlpm.factor,IF($G296="Probable",IF(Parametros!$B$6="Sí",1,0),1),IF(OR($A296="",$D296="",$E296=""),0,_xlpm.dias*$I296*_xlpm.factor))</f>
        <v/>
      </c>
      <c r="K296" s="33">
        <f>_xlfn.LET(_xlpm.inicio,MAX($D296,K$3),_xlpm.fin,MIN($E296,K$4),_xlpm.feriados,IF($H296="CO",FER_CO,FER_EC),_xlpm.dias,IF(_xlpm.inicio&gt;_xlpm.fin,0,NETWORKDAYS(_xlpm.inicio,_xlpm.fin,_xlpm.feriados)),_xlpm.factor,IF($G296="Probable",IF(Parametros!$B$6="Sí",1,0),1),IF(OR($A296="",$D296="",$E296=""),0,_xlpm.dias*$I296*_xlpm.factor))</f>
        <v/>
      </c>
      <c r="L296" s="33">
        <f>_xlfn.LET(_xlpm.inicio,MAX($D296,L$3),_xlpm.fin,MIN($E296,L$4),_xlpm.feriados,IF($H296="CO",FER_CO,FER_EC),_xlpm.dias,IF(_xlpm.inicio&gt;_xlpm.fin,0,NETWORKDAYS(_xlpm.inicio,_xlpm.fin,_xlpm.feriados)),_xlpm.factor,IF($G296="Probable",IF(Parametros!$B$6="Sí",1,0),1),IF(OR($A296="",$D296="",$E296=""),0,_xlpm.dias*$I296*_xlpm.factor))</f>
        <v/>
      </c>
      <c r="M296" s="33">
        <f>_xlfn.LET(_xlpm.inicio,MAX($D296,M$3),_xlpm.fin,MIN($E296,M$4),_xlpm.feriados,IF($H296="CO",FER_CO,FER_EC),_xlpm.dias,IF(_xlpm.inicio&gt;_xlpm.fin,0,NETWORKDAYS(_xlpm.inicio,_xlpm.fin,_xlpm.feriados)),_xlpm.factor,IF($G296="Probable",IF(Parametros!$B$6="Sí",1,0),1),IF(OR($A296="",$D296="",$E296=""),0,_xlpm.dias*$I296*_xlpm.factor))</f>
        <v/>
      </c>
      <c r="N296" s="33">
        <f>_xlfn.LET(_xlpm.inicio,MAX($D296,N$3),_xlpm.fin,MIN($E296,N$4),_xlpm.feriados,IF($H296="CO",FER_CO,FER_EC),_xlpm.dias,IF(_xlpm.inicio&gt;_xlpm.fin,0,NETWORKDAYS(_xlpm.inicio,_xlpm.fin,_xlpm.feriados)),_xlpm.factor,IF($G296="Probable",IF(Parametros!$B$6="Sí",1,0),1),IF(OR($A296="",$D296="",$E296=""),0,_xlpm.dias*$I296*_xlpm.factor))</f>
        <v/>
      </c>
      <c r="O296" s="33">
        <f>_xlfn.LET(_xlpm.inicio,MAX($D296,O$3),_xlpm.fin,MIN($E296,O$4),_xlpm.feriados,IF($H296="CO",FER_CO,FER_EC),_xlpm.dias,IF(_xlpm.inicio&gt;_xlpm.fin,0,NETWORKDAYS(_xlpm.inicio,_xlpm.fin,_xlpm.feriados)),_xlpm.factor,IF($G296="Probable",IF(Parametros!$B$6="Sí",1,0),1),IF(OR($A296="",$D296="",$E296=""),0,_xlpm.dias*$I296*_xlpm.factor))</f>
        <v/>
      </c>
      <c r="P296" s="34">
        <f>_xlfn.LET(_xlpm.horas,J296,_xlpm.feriados,IF($H296="CO",FER_CO,FER_EC),_xlpm.capacidad,NETWORKDAYS(J$3,J$4,_xlpm.feriados)*INDEX(Consultores!$C$6:$C$65,MATCH($A296,Consultores!$A$6:$A$65,0)),IF(_xlpm.horas=0,"",IFERROR(_xlpm.horas/_xlpm.capacidad,"")))</f>
        <v/>
      </c>
      <c r="Q296" s="34">
        <f>_xlfn.LET(_xlpm.horas,K296,_xlpm.feriados,IF($H296="CO",FER_CO,FER_EC),_xlpm.capacidad,NETWORKDAYS(K$3,K$4,_xlpm.feriados)*INDEX(Consultores!$C$6:$C$65,MATCH($A296,Consultores!$A$6:$A$65,0)),IF(_xlpm.horas=0,"",IFERROR(_xlpm.horas/_xlpm.capacidad,"")))</f>
        <v/>
      </c>
      <c r="R296" s="34">
        <f>_xlfn.LET(_xlpm.horas,L296,_xlpm.feriados,IF($H296="CO",FER_CO,FER_EC),_xlpm.capacidad,NETWORKDAYS(L$3,L$4,_xlpm.feriados)*INDEX(Consultores!$C$6:$C$65,MATCH($A296,Consultores!$A$6:$A$65,0)),IF(_xlpm.horas=0,"",IFERROR(_xlpm.horas/_xlpm.capacidad,"")))</f>
        <v/>
      </c>
      <c r="S296" s="34">
        <f>_xlfn.LET(_xlpm.horas,M296,_xlpm.feriados,IF($H296="CO",FER_CO,FER_EC),_xlpm.capacidad,NETWORKDAYS(M$3,M$4,_xlpm.feriados)*INDEX(Consultores!$C$6:$C$65,MATCH($A296,Consultores!$A$6:$A$65,0)),IF(_xlpm.horas=0,"",IFERROR(_xlpm.horas/_xlpm.capacidad,"")))</f>
        <v/>
      </c>
      <c r="T296" s="34">
        <f>_xlfn.LET(_xlpm.horas,N296,_xlpm.feriados,IF($H296="CO",FER_CO,FER_EC),_xlpm.capacidad,NETWORKDAYS(N$3,N$4,_xlpm.feriados)*INDEX(Consultores!$C$6:$C$65,MATCH($A296,Consultores!$A$6:$A$65,0)),IF(_xlpm.horas=0,"",IFERROR(_xlpm.horas/_xlpm.capacidad,"")))</f>
        <v/>
      </c>
      <c r="U296" s="34">
        <f>_xlfn.LET(_xlpm.horas,O296,_xlpm.feriados,IF($H296="CO",FER_CO,FER_EC),_xlpm.capacidad,NETWORKDAYS(O$3,O$4,_xlpm.feriados)*INDEX(Consultores!$C$6:$C$65,MATCH($A296,Consultores!$A$6:$A$65,0)),IF(_xlpm.horas=0,"",IFERROR(_xlpm.horas/_xlpm.capacidad,"")))</f>
        <v/>
      </c>
    </row>
    <row r="297">
      <c r="A297" s="25" t="n"/>
      <c r="B297" s="25" t="n"/>
      <c r="C297" s="25" t="n"/>
      <c r="D297" s="30" t="n"/>
      <c r="E297" s="30" t="n"/>
      <c r="F297" s="26" t="n"/>
      <c r="G297" s="25" t="n"/>
      <c r="H297" s="31">
        <f>IF($A297="","",IFERROR(INDEX(Consultores!$B$6:$B$65,MATCH($A297,Consultores!$A$6:$A$65,0)),"No existe"))</f>
        <v/>
      </c>
      <c r="I297" s="32">
        <f>IF($F297="",0,$F297/5)</f>
        <v/>
      </c>
      <c r="J297" s="33">
        <f>_xlfn.LET(_xlpm.inicio,MAX($D297,J$3),_xlpm.fin,MIN($E297,J$4),_xlpm.feriados,IF($H297="CO",FER_CO,FER_EC),_xlpm.dias,IF(_xlpm.inicio&gt;_xlpm.fin,0,NETWORKDAYS(_xlpm.inicio,_xlpm.fin,_xlpm.feriados)),_xlpm.factor,IF($G297="Probable",IF(Parametros!$B$6="Sí",1,0),1),IF(OR($A297="",$D297="",$E297=""),0,_xlpm.dias*$I297*_xlpm.factor))</f>
        <v/>
      </c>
      <c r="K297" s="33">
        <f>_xlfn.LET(_xlpm.inicio,MAX($D297,K$3),_xlpm.fin,MIN($E297,K$4),_xlpm.feriados,IF($H297="CO",FER_CO,FER_EC),_xlpm.dias,IF(_xlpm.inicio&gt;_xlpm.fin,0,NETWORKDAYS(_xlpm.inicio,_xlpm.fin,_xlpm.feriados)),_xlpm.factor,IF($G297="Probable",IF(Parametros!$B$6="Sí",1,0),1),IF(OR($A297="",$D297="",$E297=""),0,_xlpm.dias*$I297*_xlpm.factor))</f>
        <v/>
      </c>
      <c r="L297" s="33">
        <f>_xlfn.LET(_xlpm.inicio,MAX($D297,L$3),_xlpm.fin,MIN($E297,L$4),_xlpm.feriados,IF($H297="CO",FER_CO,FER_EC),_xlpm.dias,IF(_xlpm.inicio&gt;_xlpm.fin,0,NETWORKDAYS(_xlpm.inicio,_xlpm.fin,_xlpm.feriados)),_xlpm.factor,IF($G297="Probable",IF(Parametros!$B$6="Sí",1,0),1),IF(OR($A297="",$D297="",$E297=""),0,_xlpm.dias*$I297*_xlpm.factor))</f>
        <v/>
      </c>
      <c r="M297" s="33">
        <f>_xlfn.LET(_xlpm.inicio,MAX($D297,M$3),_xlpm.fin,MIN($E297,M$4),_xlpm.feriados,IF($H297="CO",FER_CO,FER_EC),_xlpm.dias,IF(_xlpm.inicio&gt;_xlpm.fin,0,NETWORKDAYS(_xlpm.inicio,_xlpm.fin,_xlpm.feriados)),_xlpm.factor,IF($G297="Probable",IF(Parametros!$B$6="Sí",1,0),1),IF(OR($A297="",$D297="",$E297=""),0,_xlpm.dias*$I297*_xlpm.factor))</f>
        <v/>
      </c>
      <c r="N297" s="33">
        <f>_xlfn.LET(_xlpm.inicio,MAX($D297,N$3),_xlpm.fin,MIN($E297,N$4),_xlpm.feriados,IF($H297="CO",FER_CO,FER_EC),_xlpm.dias,IF(_xlpm.inicio&gt;_xlpm.fin,0,NETWORKDAYS(_xlpm.inicio,_xlpm.fin,_xlpm.feriados)),_xlpm.factor,IF($G297="Probable",IF(Parametros!$B$6="Sí",1,0),1),IF(OR($A297="",$D297="",$E297=""),0,_xlpm.dias*$I297*_xlpm.factor))</f>
        <v/>
      </c>
      <c r="O297" s="33">
        <f>_xlfn.LET(_xlpm.inicio,MAX($D297,O$3),_xlpm.fin,MIN($E297,O$4),_xlpm.feriados,IF($H297="CO",FER_CO,FER_EC),_xlpm.dias,IF(_xlpm.inicio&gt;_xlpm.fin,0,NETWORKDAYS(_xlpm.inicio,_xlpm.fin,_xlpm.feriados)),_xlpm.factor,IF($G297="Probable",IF(Parametros!$B$6="Sí",1,0),1),IF(OR($A297="",$D297="",$E297=""),0,_xlpm.dias*$I297*_xlpm.factor))</f>
        <v/>
      </c>
      <c r="P297" s="34">
        <f>_xlfn.LET(_xlpm.horas,J297,_xlpm.feriados,IF($H297="CO",FER_CO,FER_EC),_xlpm.capacidad,NETWORKDAYS(J$3,J$4,_xlpm.feriados)*INDEX(Consultores!$C$6:$C$65,MATCH($A297,Consultores!$A$6:$A$65,0)),IF(_xlpm.horas=0,"",IFERROR(_xlpm.horas/_xlpm.capacidad,"")))</f>
        <v/>
      </c>
      <c r="Q297" s="34">
        <f>_xlfn.LET(_xlpm.horas,K297,_xlpm.feriados,IF($H297="CO",FER_CO,FER_EC),_xlpm.capacidad,NETWORKDAYS(K$3,K$4,_xlpm.feriados)*INDEX(Consultores!$C$6:$C$65,MATCH($A297,Consultores!$A$6:$A$65,0)),IF(_xlpm.horas=0,"",IFERROR(_xlpm.horas/_xlpm.capacidad,"")))</f>
        <v/>
      </c>
      <c r="R297" s="34">
        <f>_xlfn.LET(_xlpm.horas,L297,_xlpm.feriados,IF($H297="CO",FER_CO,FER_EC),_xlpm.capacidad,NETWORKDAYS(L$3,L$4,_xlpm.feriados)*INDEX(Consultores!$C$6:$C$65,MATCH($A297,Consultores!$A$6:$A$65,0)),IF(_xlpm.horas=0,"",IFERROR(_xlpm.horas/_xlpm.capacidad,"")))</f>
        <v/>
      </c>
      <c r="S297" s="34">
        <f>_xlfn.LET(_xlpm.horas,M297,_xlpm.feriados,IF($H297="CO",FER_CO,FER_EC),_xlpm.capacidad,NETWORKDAYS(M$3,M$4,_xlpm.feriados)*INDEX(Consultores!$C$6:$C$65,MATCH($A297,Consultores!$A$6:$A$65,0)),IF(_xlpm.horas=0,"",IFERROR(_xlpm.horas/_xlpm.capacidad,"")))</f>
        <v/>
      </c>
      <c r="T297" s="34">
        <f>_xlfn.LET(_xlpm.horas,N297,_xlpm.feriados,IF($H297="CO",FER_CO,FER_EC),_xlpm.capacidad,NETWORKDAYS(N$3,N$4,_xlpm.feriados)*INDEX(Consultores!$C$6:$C$65,MATCH($A297,Consultores!$A$6:$A$65,0)),IF(_xlpm.horas=0,"",IFERROR(_xlpm.horas/_xlpm.capacidad,"")))</f>
        <v/>
      </c>
      <c r="U297" s="34">
        <f>_xlfn.LET(_xlpm.horas,O297,_xlpm.feriados,IF($H297="CO",FER_CO,FER_EC),_xlpm.capacidad,NETWORKDAYS(O$3,O$4,_xlpm.feriados)*INDEX(Consultores!$C$6:$C$65,MATCH($A297,Consultores!$A$6:$A$65,0)),IF(_xlpm.horas=0,"",IFERROR(_xlpm.horas/_xlpm.capacidad,"")))</f>
        <v/>
      </c>
    </row>
    <row r="298">
      <c r="A298" s="25" t="n"/>
      <c r="B298" s="25" t="n"/>
      <c r="C298" s="25" t="n"/>
      <c r="D298" s="30" t="n"/>
      <c r="E298" s="30" t="n"/>
      <c r="F298" s="26" t="n"/>
      <c r="G298" s="25" t="n"/>
      <c r="H298" s="31">
        <f>IF($A298="","",IFERROR(INDEX(Consultores!$B$6:$B$65,MATCH($A298,Consultores!$A$6:$A$65,0)),"No existe"))</f>
        <v/>
      </c>
      <c r="I298" s="32">
        <f>IF($F298="",0,$F298/5)</f>
        <v/>
      </c>
      <c r="J298" s="33">
        <f>_xlfn.LET(_xlpm.inicio,MAX($D298,J$3),_xlpm.fin,MIN($E298,J$4),_xlpm.feriados,IF($H298="CO",FER_CO,FER_EC),_xlpm.dias,IF(_xlpm.inicio&gt;_xlpm.fin,0,NETWORKDAYS(_xlpm.inicio,_xlpm.fin,_xlpm.feriados)),_xlpm.factor,IF($G298="Probable",IF(Parametros!$B$6="Sí",1,0),1),IF(OR($A298="",$D298="",$E298=""),0,_xlpm.dias*$I298*_xlpm.factor))</f>
        <v/>
      </c>
      <c r="K298" s="33">
        <f>_xlfn.LET(_xlpm.inicio,MAX($D298,K$3),_xlpm.fin,MIN($E298,K$4),_xlpm.feriados,IF($H298="CO",FER_CO,FER_EC),_xlpm.dias,IF(_xlpm.inicio&gt;_xlpm.fin,0,NETWORKDAYS(_xlpm.inicio,_xlpm.fin,_xlpm.feriados)),_xlpm.factor,IF($G298="Probable",IF(Parametros!$B$6="Sí",1,0),1),IF(OR($A298="",$D298="",$E298=""),0,_xlpm.dias*$I298*_xlpm.factor))</f>
        <v/>
      </c>
      <c r="L298" s="33">
        <f>_xlfn.LET(_xlpm.inicio,MAX($D298,L$3),_xlpm.fin,MIN($E298,L$4),_xlpm.feriados,IF($H298="CO",FER_CO,FER_EC),_xlpm.dias,IF(_xlpm.inicio&gt;_xlpm.fin,0,NETWORKDAYS(_xlpm.inicio,_xlpm.fin,_xlpm.feriados)),_xlpm.factor,IF($G298="Probable",IF(Parametros!$B$6="Sí",1,0),1),IF(OR($A298="",$D298="",$E298=""),0,_xlpm.dias*$I298*_xlpm.factor))</f>
        <v/>
      </c>
      <c r="M298" s="33">
        <f>_xlfn.LET(_xlpm.inicio,MAX($D298,M$3),_xlpm.fin,MIN($E298,M$4),_xlpm.feriados,IF($H298="CO",FER_CO,FER_EC),_xlpm.dias,IF(_xlpm.inicio&gt;_xlpm.fin,0,NETWORKDAYS(_xlpm.inicio,_xlpm.fin,_xlpm.feriados)),_xlpm.factor,IF($G298="Probable",IF(Parametros!$B$6="Sí",1,0),1),IF(OR($A298="",$D298="",$E298=""),0,_xlpm.dias*$I298*_xlpm.factor))</f>
        <v/>
      </c>
      <c r="N298" s="33">
        <f>_xlfn.LET(_xlpm.inicio,MAX($D298,N$3),_xlpm.fin,MIN($E298,N$4),_xlpm.feriados,IF($H298="CO",FER_CO,FER_EC),_xlpm.dias,IF(_xlpm.inicio&gt;_xlpm.fin,0,NETWORKDAYS(_xlpm.inicio,_xlpm.fin,_xlpm.feriados)),_xlpm.factor,IF($G298="Probable",IF(Parametros!$B$6="Sí",1,0),1),IF(OR($A298="",$D298="",$E298=""),0,_xlpm.dias*$I298*_xlpm.factor))</f>
        <v/>
      </c>
      <c r="O298" s="33">
        <f>_xlfn.LET(_xlpm.inicio,MAX($D298,O$3),_xlpm.fin,MIN($E298,O$4),_xlpm.feriados,IF($H298="CO",FER_CO,FER_EC),_xlpm.dias,IF(_xlpm.inicio&gt;_xlpm.fin,0,NETWORKDAYS(_xlpm.inicio,_xlpm.fin,_xlpm.feriados)),_xlpm.factor,IF($G298="Probable",IF(Parametros!$B$6="Sí",1,0),1),IF(OR($A298="",$D298="",$E298=""),0,_xlpm.dias*$I298*_xlpm.factor))</f>
        <v/>
      </c>
      <c r="P298" s="34">
        <f>_xlfn.LET(_xlpm.horas,J298,_xlpm.feriados,IF($H298="CO",FER_CO,FER_EC),_xlpm.capacidad,NETWORKDAYS(J$3,J$4,_xlpm.feriados)*INDEX(Consultores!$C$6:$C$65,MATCH($A298,Consultores!$A$6:$A$65,0)),IF(_xlpm.horas=0,"",IFERROR(_xlpm.horas/_xlpm.capacidad,"")))</f>
        <v/>
      </c>
      <c r="Q298" s="34">
        <f>_xlfn.LET(_xlpm.horas,K298,_xlpm.feriados,IF($H298="CO",FER_CO,FER_EC),_xlpm.capacidad,NETWORKDAYS(K$3,K$4,_xlpm.feriados)*INDEX(Consultores!$C$6:$C$65,MATCH($A298,Consultores!$A$6:$A$65,0)),IF(_xlpm.horas=0,"",IFERROR(_xlpm.horas/_xlpm.capacidad,"")))</f>
        <v/>
      </c>
      <c r="R298" s="34">
        <f>_xlfn.LET(_xlpm.horas,L298,_xlpm.feriados,IF($H298="CO",FER_CO,FER_EC),_xlpm.capacidad,NETWORKDAYS(L$3,L$4,_xlpm.feriados)*INDEX(Consultores!$C$6:$C$65,MATCH($A298,Consultores!$A$6:$A$65,0)),IF(_xlpm.horas=0,"",IFERROR(_xlpm.horas/_xlpm.capacidad,"")))</f>
        <v/>
      </c>
      <c r="S298" s="34">
        <f>_xlfn.LET(_xlpm.horas,M298,_xlpm.feriados,IF($H298="CO",FER_CO,FER_EC),_xlpm.capacidad,NETWORKDAYS(M$3,M$4,_xlpm.feriados)*INDEX(Consultores!$C$6:$C$65,MATCH($A298,Consultores!$A$6:$A$65,0)),IF(_xlpm.horas=0,"",IFERROR(_xlpm.horas/_xlpm.capacidad,"")))</f>
        <v/>
      </c>
      <c r="T298" s="34">
        <f>_xlfn.LET(_xlpm.horas,N298,_xlpm.feriados,IF($H298="CO",FER_CO,FER_EC),_xlpm.capacidad,NETWORKDAYS(N$3,N$4,_xlpm.feriados)*INDEX(Consultores!$C$6:$C$65,MATCH($A298,Consultores!$A$6:$A$65,0)),IF(_xlpm.horas=0,"",IFERROR(_xlpm.horas/_xlpm.capacidad,"")))</f>
        <v/>
      </c>
      <c r="U298" s="34">
        <f>_xlfn.LET(_xlpm.horas,O298,_xlpm.feriados,IF($H298="CO",FER_CO,FER_EC),_xlpm.capacidad,NETWORKDAYS(O$3,O$4,_xlpm.feriados)*INDEX(Consultores!$C$6:$C$65,MATCH($A298,Consultores!$A$6:$A$65,0)),IF(_xlpm.horas=0,"",IFERROR(_xlpm.horas/_xlpm.capacidad,"")))</f>
        <v/>
      </c>
    </row>
    <row r="299">
      <c r="A299" s="25" t="n"/>
      <c r="B299" s="25" t="n"/>
      <c r="C299" s="25" t="n"/>
      <c r="D299" s="30" t="n"/>
      <c r="E299" s="30" t="n"/>
      <c r="F299" s="26" t="n"/>
      <c r="G299" s="25" t="n"/>
      <c r="H299" s="31">
        <f>IF($A299="","",IFERROR(INDEX(Consultores!$B$6:$B$65,MATCH($A299,Consultores!$A$6:$A$65,0)),"No existe"))</f>
        <v/>
      </c>
      <c r="I299" s="32">
        <f>IF($F299="",0,$F299/5)</f>
        <v/>
      </c>
      <c r="J299" s="33">
        <f>_xlfn.LET(_xlpm.inicio,MAX($D299,J$3),_xlpm.fin,MIN($E299,J$4),_xlpm.feriados,IF($H299="CO",FER_CO,FER_EC),_xlpm.dias,IF(_xlpm.inicio&gt;_xlpm.fin,0,NETWORKDAYS(_xlpm.inicio,_xlpm.fin,_xlpm.feriados)),_xlpm.factor,IF($G299="Probable",IF(Parametros!$B$6="Sí",1,0),1),IF(OR($A299="",$D299="",$E299=""),0,_xlpm.dias*$I299*_xlpm.factor))</f>
        <v/>
      </c>
      <c r="K299" s="33">
        <f>_xlfn.LET(_xlpm.inicio,MAX($D299,K$3),_xlpm.fin,MIN($E299,K$4),_xlpm.feriados,IF($H299="CO",FER_CO,FER_EC),_xlpm.dias,IF(_xlpm.inicio&gt;_xlpm.fin,0,NETWORKDAYS(_xlpm.inicio,_xlpm.fin,_xlpm.feriados)),_xlpm.factor,IF($G299="Probable",IF(Parametros!$B$6="Sí",1,0),1),IF(OR($A299="",$D299="",$E299=""),0,_xlpm.dias*$I299*_xlpm.factor))</f>
        <v/>
      </c>
      <c r="L299" s="33">
        <f>_xlfn.LET(_xlpm.inicio,MAX($D299,L$3),_xlpm.fin,MIN($E299,L$4),_xlpm.feriados,IF($H299="CO",FER_CO,FER_EC),_xlpm.dias,IF(_xlpm.inicio&gt;_xlpm.fin,0,NETWORKDAYS(_xlpm.inicio,_xlpm.fin,_xlpm.feriados)),_xlpm.factor,IF($G299="Probable",IF(Parametros!$B$6="Sí",1,0),1),IF(OR($A299="",$D299="",$E299=""),0,_xlpm.dias*$I299*_xlpm.factor))</f>
        <v/>
      </c>
      <c r="M299" s="33">
        <f>_xlfn.LET(_xlpm.inicio,MAX($D299,M$3),_xlpm.fin,MIN($E299,M$4),_xlpm.feriados,IF($H299="CO",FER_CO,FER_EC),_xlpm.dias,IF(_xlpm.inicio&gt;_xlpm.fin,0,NETWORKDAYS(_xlpm.inicio,_xlpm.fin,_xlpm.feriados)),_xlpm.factor,IF($G299="Probable",IF(Parametros!$B$6="Sí",1,0),1),IF(OR($A299="",$D299="",$E299=""),0,_xlpm.dias*$I299*_xlpm.factor))</f>
        <v/>
      </c>
      <c r="N299" s="33">
        <f>_xlfn.LET(_xlpm.inicio,MAX($D299,N$3),_xlpm.fin,MIN($E299,N$4),_xlpm.feriados,IF($H299="CO",FER_CO,FER_EC),_xlpm.dias,IF(_xlpm.inicio&gt;_xlpm.fin,0,NETWORKDAYS(_xlpm.inicio,_xlpm.fin,_xlpm.feriados)),_xlpm.factor,IF($G299="Probable",IF(Parametros!$B$6="Sí",1,0),1),IF(OR($A299="",$D299="",$E299=""),0,_xlpm.dias*$I299*_xlpm.factor))</f>
        <v/>
      </c>
      <c r="O299" s="33">
        <f>_xlfn.LET(_xlpm.inicio,MAX($D299,O$3),_xlpm.fin,MIN($E299,O$4),_xlpm.feriados,IF($H299="CO",FER_CO,FER_EC),_xlpm.dias,IF(_xlpm.inicio&gt;_xlpm.fin,0,NETWORKDAYS(_xlpm.inicio,_xlpm.fin,_xlpm.feriados)),_xlpm.factor,IF($G299="Probable",IF(Parametros!$B$6="Sí",1,0),1),IF(OR($A299="",$D299="",$E299=""),0,_xlpm.dias*$I299*_xlpm.factor))</f>
        <v/>
      </c>
      <c r="P299" s="34">
        <f>_xlfn.LET(_xlpm.horas,J299,_xlpm.feriados,IF($H299="CO",FER_CO,FER_EC),_xlpm.capacidad,NETWORKDAYS(J$3,J$4,_xlpm.feriados)*INDEX(Consultores!$C$6:$C$65,MATCH($A299,Consultores!$A$6:$A$65,0)),IF(_xlpm.horas=0,"",IFERROR(_xlpm.horas/_xlpm.capacidad,"")))</f>
        <v/>
      </c>
      <c r="Q299" s="34">
        <f>_xlfn.LET(_xlpm.horas,K299,_xlpm.feriados,IF($H299="CO",FER_CO,FER_EC),_xlpm.capacidad,NETWORKDAYS(K$3,K$4,_xlpm.feriados)*INDEX(Consultores!$C$6:$C$65,MATCH($A299,Consultores!$A$6:$A$65,0)),IF(_xlpm.horas=0,"",IFERROR(_xlpm.horas/_xlpm.capacidad,"")))</f>
        <v/>
      </c>
      <c r="R299" s="34">
        <f>_xlfn.LET(_xlpm.horas,L299,_xlpm.feriados,IF($H299="CO",FER_CO,FER_EC),_xlpm.capacidad,NETWORKDAYS(L$3,L$4,_xlpm.feriados)*INDEX(Consultores!$C$6:$C$65,MATCH($A299,Consultores!$A$6:$A$65,0)),IF(_xlpm.horas=0,"",IFERROR(_xlpm.horas/_xlpm.capacidad,"")))</f>
        <v/>
      </c>
      <c r="S299" s="34">
        <f>_xlfn.LET(_xlpm.horas,M299,_xlpm.feriados,IF($H299="CO",FER_CO,FER_EC),_xlpm.capacidad,NETWORKDAYS(M$3,M$4,_xlpm.feriados)*INDEX(Consultores!$C$6:$C$65,MATCH($A299,Consultores!$A$6:$A$65,0)),IF(_xlpm.horas=0,"",IFERROR(_xlpm.horas/_xlpm.capacidad,"")))</f>
        <v/>
      </c>
      <c r="T299" s="34">
        <f>_xlfn.LET(_xlpm.horas,N299,_xlpm.feriados,IF($H299="CO",FER_CO,FER_EC),_xlpm.capacidad,NETWORKDAYS(N$3,N$4,_xlpm.feriados)*INDEX(Consultores!$C$6:$C$65,MATCH($A299,Consultores!$A$6:$A$65,0)),IF(_xlpm.horas=0,"",IFERROR(_xlpm.horas/_xlpm.capacidad,"")))</f>
        <v/>
      </c>
      <c r="U299" s="34">
        <f>_xlfn.LET(_xlpm.horas,O299,_xlpm.feriados,IF($H299="CO",FER_CO,FER_EC),_xlpm.capacidad,NETWORKDAYS(O$3,O$4,_xlpm.feriados)*INDEX(Consultores!$C$6:$C$65,MATCH($A299,Consultores!$A$6:$A$65,0)),IF(_xlpm.horas=0,"",IFERROR(_xlpm.horas/_xlpm.capacidad,"")))</f>
        <v/>
      </c>
    </row>
    <row r="300">
      <c r="A300" s="25" t="n"/>
      <c r="B300" s="25" t="n"/>
      <c r="C300" s="25" t="n"/>
      <c r="D300" s="30" t="n"/>
      <c r="E300" s="30" t="n"/>
      <c r="F300" s="26" t="n"/>
      <c r="G300" s="25" t="n"/>
      <c r="H300" s="31">
        <f>IF($A300="","",IFERROR(INDEX(Consultores!$B$6:$B$65,MATCH($A300,Consultores!$A$6:$A$65,0)),"No existe"))</f>
        <v/>
      </c>
      <c r="I300" s="32">
        <f>IF($F300="",0,$F300/5)</f>
        <v/>
      </c>
      <c r="J300" s="33">
        <f>_xlfn.LET(_xlpm.inicio,MAX($D300,J$3),_xlpm.fin,MIN($E300,J$4),_xlpm.feriados,IF($H300="CO",FER_CO,FER_EC),_xlpm.dias,IF(_xlpm.inicio&gt;_xlpm.fin,0,NETWORKDAYS(_xlpm.inicio,_xlpm.fin,_xlpm.feriados)),_xlpm.factor,IF($G300="Probable",IF(Parametros!$B$6="Sí",1,0),1),IF(OR($A300="",$D300="",$E300=""),0,_xlpm.dias*$I300*_xlpm.factor))</f>
        <v/>
      </c>
      <c r="K300" s="33">
        <f>_xlfn.LET(_xlpm.inicio,MAX($D300,K$3),_xlpm.fin,MIN($E300,K$4),_xlpm.feriados,IF($H300="CO",FER_CO,FER_EC),_xlpm.dias,IF(_xlpm.inicio&gt;_xlpm.fin,0,NETWORKDAYS(_xlpm.inicio,_xlpm.fin,_xlpm.feriados)),_xlpm.factor,IF($G300="Probable",IF(Parametros!$B$6="Sí",1,0),1),IF(OR($A300="",$D300="",$E300=""),0,_xlpm.dias*$I300*_xlpm.factor))</f>
        <v/>
      </c>
      <c r="L300" s="33">
        <f>_xlfn.LET(_xlpm.inicio,MAX($D300,L$3),_xlpm.fin,MIN($E300,L$4),_xlpm.feriados,IF($H300="CO",FER_CO,FER_EC),_xlpm.dias,IF(_xlpm.inicio&gt;_xlpm.fin,0,NETWORKDAYS(_xlpm.inicio,_xlpm.fin,_xlpm.feriados)),_xlpm.factor,IF($G300="Probable",IF(Parametros!$B$6="Sí",1,0),1),IF(OR($A300="",$D300="",$E300=""),0,_xlpm.dias*$I300*_xlpm.factor))</f>
        <v/>
      </c>
      <c r="M300" s="33">
        <f>_xlfn.LET(_xlpm.inicio,MAX($D300,M$3),_xlpm.fin,MIN($E300,M$4),_xlpm.feriados,IF($H300="CO",FER_CO,FER_EC),_xlpm.dias,IF(_xlpm.inicio&gt;_xlpm.fin,0,NETWORKDAYS(_xlpm.inicio,_xlpm.fin,_xlpm.feriados)),_xlpm.factor,IF($G300="Probable",IF(Parametros!$B$6="Sí",1,0),1),IF(OR($A300="",$D300="",$E300=""),0,_xlpm.dias*$I300*_xlpm.factor))</f>
        <v/>
      </c>
      <c r="N300" s="33">
        <f>_xlfn.LET(_xlpm.inicio,MAX($D300,N$3),_xlpm.fin,MIN($E300,N$4),_xlpm.feriados,IF($H300="CO",FER_CO,FER_EC),_xlpm.dias,IF(_xlpm.inicio&gt;_xlpm.fin,0,NETWORKDAYS(_xlpm.inicio,_xlpm.fin,_xlpm.feriados)),_xlpm.factor,IF($G300="Probable",IF(Parametros!$B$6="Sí",1,0),1),IF(OR($A300="",$D300="",$E300=""),0,_xlpm.dias*$I300*_xlpm.factor))</f>
        <v/>
      </c>
      <c r="O300" s="33">
        <f>_xlfn.LET(_xlpm.inicio,MAX($D300,O$3),_xlpm.fin,MIN($E300,O$4),_xlpm.feriados,IF($H300="CO",FER_CO,FER_EC),_xlpm.dias,IF(_xlpm.inicio&gt;_xlpm.fin,0,NETWORKDAYS(_xlpm.inicio,_xlpm.fin,_xlpm.feriados)),_xlpm.factor,IF($G300="Probable",IF(Parametros!$B$6="Sí",1,0),1),IF(OR($A300="",$D300="",$E300=""),0,_xlpm.dias*$I300*_xlpm.factor))</f>
        <v/>
      </c>
      <c r="P300" s="34">
        <f>_xlfn.LET(_xlpm.horas,J300,_xlpm.feriados,IF($H300="CO",FER_CO,FER_EC),_xlpm.capacidad,NETWORKDAYS(J$3,J$4,_xlpm.feriados)*INDEX(Consultores!$C$6:$C$65,MATCH($A300,Consultores!$A$6:$A$65,0)),IF(_xlpm.horas=0,"",IFERROR(_xlpm.horas/_xlpm.capacidad,"")))</f>
        <v/>
      </c>
      <c r="Q300" s="34">
        <f>_xlfn.LET(_xlpm.horas,K300,_xlpm.feriados,IF($H300="CO",FER_CO,FER_EC),_xlpm.capacidad,NETWORKDAYS(K$3,K$4,_xlpm.feriados)*INDEX(Consultores!$C$6:$C$65,MATCH($A300,Consultores!$A$6:$A$65,0)),IF(_xlpm.horas=0,"",IFERROR(_xlpm.horas/_xlpm.capacidad,"")))</f>
        <v/>
      </c>
      <c r="R300" s="34">
        <f>_xlfn.LET(_xlpm.horas,L300,_xlpm.feriados,IF($H300="CO",FER_CO,FER_EC),_xlpm.capacidad,NETWORKDAYS(L$3,L$4,_xlpm.feriados)*INDEX(Consultores!$C$6:$C$65,MATCH($A300,Consultores!$A$6:$A$65,0)),IF(_xlpm.horas=0,"",IFERROR(_xlpm.horas/_xlpm.capacidad,"")))</f>
        <v/>
      </c>
      <c r="S300" s="34">
        <f>_xlfn.LET(_xlpm.horas,M300,_xlpm.feriados,IF($H300="CO",FER_CO,FER_EC),_xlpm.capacidad,NETWORKDAYS(M$3,M$4,_xlpm.feriados)*INDEX(Consultores!$C$6:$C$65,MATCH($A300,Consultores!$A$6:$A$65,0)),IF(_xlpm.horas=0,"",IFERROR(_xlpm.horas/_xlpm.capacidad,"")))</f>
        <v/>
      </c>
      <c r="T300" s="34">
        <f>_xlfn.LET(_xlpm.horas,N300,_xlpm.feriados,IF($H300="CO",FER_CO,FER_EC),_xlpm.capacidad,NETWORKDAYS(N$3,N$4,_xlpm.feriados)*INDEX(Consultores!$C$6:$C$65,MATCH($A300,Consultores!$A$6:$A$65,0)),IF(_xlpm.horas=0,"",IFERROR(_xlpm.horas/_xlpm.capacidad,"")))</f>
        <v/>
      </c>
      <c r="U300" s="34">
        <f>_xlfn.LET(_xlpm.horas,O300,_xlpm.feriados,IF($H300="CO",FER_CO,FER_EC),_xlpm.capacidad,NETWORKDAYS(O$3,O$4,_xlpm.feriados)*INDEX(Consultores!$C$6:$C$65,MATCH($A300,Consultores!$A$6:$A$65,0)),IF(_xlpm.horas=0,"",IFERROR(_xlpm.horas/_xlpm.capacidad,"")))</f>
        <v/>
      </c>
    </row>
    <row r="301">
      <c r="A301" s="25" t="n"/>
      <c r="B301" s="25" t="n"/>
      <c r="C301" s="25" t="n"/>
      <c r="D301" s="30" t="n"/>
      <c r="E301" s="30" t="n"/>
      <c r="F301" s="26" t="n"/>
      <c r="G301" s="25" t="n"/>
      <c r="H301" s="31">
        <f>IF($A301="","",IFERROR(INDEX(Consultores!$B$6:$B$65,MATCH($A301,Consultores!$A$6:$A$65,0)),"No existe"))</f>
        <v/>
      </c>
      <c r="I301" s="32">
        <f>IF($F301="",0,$F301/5)</f>
        <v/>
      </c>
      <c r="J301" s="33">
        <f>_xlfn.LET(_xlpm.inicio,MAX($D301,J$3),_xlpm.fin,MIN($E301,J$4),_xlpm.feriados,IF($H301="CO",FER_CO,FER_EC),_xlpm.dias,IF(_xlpm.inicio&gt;_xlpm.fin,0,NETWORKDAYS(_xlpm.inicio,_xlpm.fin,_xlpm.feriados)),_xlpm.factor,IF($G301="Probable",IF(Parametros!$B$6="Sí",1,0),1),IF(OR($A301="",$D301="",$E301=""),0,_xlpm.dias*$I301*_xlpm.factor))</f>
        <v/>
      </c>
      <c r="K301" s="33">
        <f>_xlfn.LET(_xlpm.inicio,MAX($D301,K$3),_xlpm.fin,MIN($E301,K$4),_xlpm.feriados,IF($H301="CO",FER_CO,FER_EC),_xlpm.dias,IF(_xlpm.inicio&gt;_xlpm.fin,0,NETWORKDAYS(_xlpm.inicio,_xlpm.fin,_xlpm.feriados)),_xlpm.factor,IF($G301="Probable",IF(Parametros!$B$6="Sí",1,0),1),IF(OR($A301="",$D301="",$E301=""),0,_xlpm.dias*$I301*_xlpm.factor))</f>
        <v/>
      </c>
      <c r="L301" s="33">
        <f>_xlfn.LET(_xlpm.inicio,MAX($D301,L$3),_xlpm.fin,MIN($E301,L$4),_xlpm.feriados,IF($H301="CO",FER_CO,FER_EC),_xlpm.dias,IF(_xlpm.inicio&gt;_xlpm.fin,0,NETWORKDAYS(_xlpm.inicio,_xlpm.fin,_xlpm.feriados)),_xlpm.factor,IF($G301="Probable",IF(Parametros!$B$6="Sí",1,0),1),IF(OR($A301="",$D301="",$E301=""),0,_xlpm.dias*$I301*_xlpm.factor))</f>
        <v/>
      </c>
      <c r="M301" s="33">
        <f>_xlfn.LET(_xlpm.inicio,MAX($D301,M$3),_xlpm.fin,MIN($E301,M$4),_xlpm.feriados,IF($H301="CO",FER_CO,FER_EC),_xlpm.dias,IF(_xlpm.inicio&gt;_xlpm.fin,0,NETWORKDAYS(_xlpm.inicio,_xlpm.fin,_xlpm.feriados)),_xlpm.factor,IF($G301="Probable",IF(Parametros!$B$6="Sí",1,0),1),IF(OR($A301="",$D301="",$E301=""),0,_xlpm.dias*$I301*_xlpm.factor))</f>
        <v/>
      </c>
      <c r="N301" s="33">
        <f>_xlfn.LET(_xlpm.inicio,MAX($D301,N$3),_xlpm.fin,MIN($E301,N$4),_xlpm.feriados,IF($H301="CO",FER_CO,FER_EC),_xlpm.dias,IF(_xlpm.inicio&gt;_xlpm.fin,0,NETWORKDAYS(_xlpm.inicio,_xlpm.fin,_xlpm.feriados)),_xlpm.factor,IF($G301="Probable",IF(Parametros!$B$6="Sí",1,0),1),IF(OR($A301="",$D301="",$E301=""),0,_xlpm.dias*$I301*_xlpm.factor))</f>
        <v/>
      </c>
      <c r="O301" s="33">
        <f>_xlfn.LET(_xlpm.inicio,MAX($D301,O$3),_xlpm.fin,MIN($E301,O$4),_xlpm.feriados,IF($H301="CO",FER_CO,FER_EC),_xlpm.dias,IF(_xlpm.inicio&gt;_xlpm.fin,0,NETWORKDAYS(_xlpm.inicio,_xlpm.fin,_xlpm.feriados)),_xlpm.factor,IF($G301="Probable",IF(Parametros!$B$6="Sí",1,0),1),IF(OR($A301="",$D301="",$E301=""),0,_xlpm.dias*$I301*_xlpm.factor))</f>
        <v/>
      </c>
      <c r="P301" s="34">
        <f>_xlfn.LET(_xlpm.horas,J301,_xlpm.feriados,IF($H301="CO",FER_CO,FER_EC),_xlpm.capacidad,NETWORKDAYS(J$3,J$4,_xlpm.feriados)*INDEX(Consultores!$C$6:$C$65,MATCH($A301,Consultores!$A$6:$A$65,0)),IF(_xlpm.horas=0,"",IFERROR(_xlpm.horas/_xlpm.capacidad,"")))</f>
        <v/>
      </c>
      <c r="Q301" s="34">
        <f>_xlfn.LET(_xlpm.horas,K301,_xlpm.feriados,IF($H301="CO",FER_CO,FER_EC),_xlpm.capacidad,NETWORKDAYS(K$3,K$4,_xlpm.feriados)*INDEX(Consultores!$C$6:$C$65,MATCH($A301,Consultores!$A$6:$A$65,0)),IF(_xlpm.horas=0,"",IFERROR(_xlpm.horas/_xlpm.capacidad,"")))</f>
        <v/>
      </c>
      <c r="R301" s="34">
        <f>_xlfn.LET(_xlpm.horas,L301,_xlpm.feriados,IF($H301="CO",FER_CO,FER_EC),_xlpm.capacidad,NETWORKDAYS(L$3,L$4,_xlpm.feriados)*INDEX(Consultores!$C$6:$C$65,MATCH($A301,Consultores!$A$6:$A$65,0)),IF(_xlpm.horas=0,"",IFERROR(_xlpm.horas/_xlpm.capacidad,"")))</f>
        <v/>
      </c>
      <c r="S301" s="34">
        <f>_xlfn.LET(_xlpm.horas,M301,_xlpm.feriados,IF($H301="CO",FER_CO,FER_EC),_xlpm.capacidad,NETWORKDAYS(M$3,M$4,_xlpm.feriados)*INDEX(Consultores!$C$6:$C$65,MATCH($A301,Consultores!$A$6:$A$65,0)),IF(_xlpm.horas=0,"",IFERROR(_xlpm.horas/_xlpm.capacidad,"")))</f>
        <v/>
      </c>
      <c r="T301" s="34">
        <f>_xlfn.LET(_xlpm.horas,N301,_xlpm.feriados,IF($H301="CO",FER_CO,FER_EC),_xlpm.capacidad,NETWORKDAYS(N$3,N$4,_xlpm.feriados)*INDEX(Consultores!$C$6:$C$65,MATCH($A301,Consultores!$A$6:$A$65,0)),IF(_xlpm.horas=0,"",IFERROR(_xlpm.horas/_xlpm.capacidad,"")))</f>
        <v/>
      </c>
      <c r="U301" s="34">
        <f>_xlfn.LET(_xlpm.horas,O301,_xlpm.feriados,IF($H301="CO",FER_CO,FER_EC),_xlpm.capacidad,NETWORKDAYS(O$3,O$4,_xlpm.feriados)*INDEX(Consultores!$C$6:$C$65,MATCH($A301,Consultores!$A$6:$A$65,0)),IF(_xlpm.horas=0,"",IFERROR(_xlpm.horas/_xlpm.capacidad,"")))</f>
        <v/>
      </c>
    </row>
    <row r="302">
      <c r="A302" s="25" t="n"/>
      <c r="B302" s="25" t="n"/>
      <c r="C302" s="25" t="n"/>
      <c r="D302" s="30" t="n"/>
      <c r="E302" s="30" t="n"/>
      <c r="F302" s="26" t="n"/>
      <c r="G302" s="25" t="n"/>
      <c r="H302" s="31">
        <f>IF($A302="","",IFERROR(INDEX(Consultores!$B$6:$B$65,MATCH($A302,Consultores!$A$6:$A$65,0)),"No existe"))</f>
        <v/>
      </c>
      <c r="I302" s="32">
        <f>IF($F302="",0,$F302/5)</f>
        <v/>
      </c>
      <c r="J302" s="33">
        <f>_xlfn.LET(_xlpm.inicio,MAX($D302,J$3),_xlpm.fin,MIN($E302,J$4),_xlpm.feriados,IF($H302="CO",FER_CO,FER_EC),_xlpm.dias,IF(_xlpm.inicio&gt;_xlpm.fin,0,NETWORKDAYS(_xlpm.inicio,_xlpm.fin,_xlpm.feriados)),_xlpm.factor,IF($G302="Probable",IF(Parametros!$B$6="Sí",1,0),1),IF(OR($A302="",$D302="",$E302=""),0,_xlpm.dias*$I302*_xlpm.factor))</f>
        <v/>
      </c>
      <c r="K302" s="33">
        <f>_xlfn.LET(_xlpm.inicio,MAX($D302,K$3),_xlpm.fin,MIN($E302,K$4),_xlpm.feriados,IF($H302="CO",FER_CO,FER_EC),_xlpm.dias,IF(_xlpm.inicio&gt;_xlpm.fin,0,NETWORKDAYS(_xlpm.inicio,_xlpm.fin,_xlpm.feriados)),_xlpm.factor,IF($G302="Probable",IF(Parametros!$B$6="Sí",1,0),1),IF(OR($A302="",$D302="",$E302=""),0,_xlpm.dias*$I302*_xlpm.factor))</f>
        <v/>
      </c>
      <c r="L302" s="33">
        <f>_xlfn.LET(_xlpm.inicio,MAX($D302,L$3),_xlpm.fin,MIN($E302,L$4),_xlpm.feriados,IF($H302="CO",FER_CO,FER_EC),_xlpm.dias,IF(_xlpm.inicio&gt;_xlpm.fin,0,NETWORKDAYS(_xlpm.inicio,_xlpm.fin,_xlpm.feriados)),_xlpm.factor,IF($G302="Probable",IF(Parametros!$B$6="Sí",1,0),1),IF(OR($A302="",$D302="",$E302=""),0,_xlpm.dias*$I302*_xlpm.factor))</f>
        <v/>
      </c>
      <c r="M302" s="33">
        <f>_xlfn.LET(_xlpm.inicio,MAX($D302,M$3),_xlpm.fin,MIN($E302,M$4),_xlpm.feriados,IF($H302="CO",FER_CO,FER_EC),_xlpm.dias,IF(_xlpm.inicio&gt;_xlpm.fin,0,NETWORKDAYS(_xlpm.inicio,_xlpm.fin,_xlpm.feriados)),_xlpm.factor,IF($G302="Probable",IF(Parametros!$B$6="Sí",1,0),1),IF(OR($A302="",$D302="",$E302=""),0,_xlpm.dias*$I302*_xlpm.factor))</f>
        <v/>
      </c>
      <c r="N302" s="33">
        <f>_xlfn.LET(_xlpm.inicio,MAX($D302,N$3),_xlpm.fin,MIN($E302,N$4),_xlpm.feriados,IF($H302="CO",FER_CO,FER_EC),_xlpm.dias,IF(_xlpm.inicio&gt;_xlpm.fin,0,NETWORKDAYS(_xlpm.inicio,_xlpm.fin,_xlpm.feriados)),_xlpm.factor,IF($G302="Probable",IF(Parametros!$B$6="Sí",1,0),1),IF(OR($A302="",$D302="",$E302=""),0,_xlpm.dias*$I302*_xlpm.factor))</f>
        <v/>
      </c>
      <c r="O302" s="33">
        <f>_xlfn.LET(_xlpm.inicio,MAX($D302,O$3),_xlpm.fin,MIN($E302,O$4),_xlpm.feriados,IF($H302="CO",FER_CO,FER_EC),_xlpm.dias,IF(_xlpm.inicio&gt;_xlpm.fin,0,NETWORKDAYS(_xlpm.inicio,_xlpm.fin,_xlpm.feriados)),_xlpm.factor,IF($G302="Probable",IF(Parametros!$B$6="Sí",1,0),1),IF(OR($A302="",$D302="",$E302=""),0,_xlpm.dias*$I302*_xlpm.factor))</f>
        <v/>
      </c>
      <c r="P302" s="34">
        <f>_xlfn.LET(_xlpm.horas,J302,_xlpm.feriados,IF($H302="CO",FER_CO,FER_EC),_xlpm.capacidad,NETWORKDAYS(J$3,J$4,_xlpm.feriados)*INDEX(Consultores!$C$6:$C$65,MATCH($A302,Consultores!$A$6:$A$65,0)),IF(_xlpm.horas=0,"",IFERROR(_xlpm.horas/_xlpm.capacidad,"")))</f>
        <v/>
      </c>
      <c r="Q302" s="34">
        <f>_xlfn.LET(_xlpm.horas,K302,_xlpm.feriados,IF($H302="CO",FER_CO,FER_EC),_xlpm.capacidad,NETWORKDAYS(K$3,K$4,_xlpm.feriados)*INDEX(Consultores!$C$6:$C$65,MATCH($A302,Consultores!$A$6:$A$65,0)),IF(_xlpm.horas=0,"",IFERROR(_xlpm.horas/_xlpm.capacidad,"")))</f>
        <v/>
      </c>
      <c r="R302" s="34">
        <f>_xlfn.LET(_xlpm.horas,L302,_xlpm.feriados,IF($H302="CO",FER_CO,FER_EC),_xlpm.capacidad,NETWORKDAYS(L$3,L$4,_xlpm.feriados)*INDEX(Consultores!$C$6:$C$65,MATCH($A302,Consultores!$A$6:$A$65,0)),IF(_xlpm.horas=0,"",IFERROR(_xlpm.horas/_xlpm.capacidad,"")))</f>
        <v/>
      </c>
      <c r="S302" s="34">
        <f>_xlfn.LET(_xlpm.horas,M302,_xlpm.feriados,IF($H302="CO",FER_CO,FER_EC),_xlpm.capacidad,NETWORKDAYS(M$3,M$4,_xlpm.feriados)*INDEX(Consultores!$C$6:$C$65,MATCH($A302,Consultores!$A$6:$A$65,0)),IF(_xlpm.horas=0,"",IFERROR(_xlpm.horas/_xlpm.capacidad,"")))</f>
        <v/>
      </c>
      <c r="T302" s="34">
        <f>_xlfn.LET(_xlpm.horas,N302,_xlpm.feriados,IF($H302="CO",FER_CO,FER_EC),_xlpm.capacidad,NETWORKDAYS(N$3,N$4,_xlpm.feriados)*INDEX(Consultores!$C$6:$C$65,MATCH($A302,Consultores!$A$6:$A$65,0)),IF(_xlpm.horas=0,"",IFERROR(_xlpm.horas/_xlpm.capacidad,"")))</f>
        <v/>
      </c>
      <c r="U302" s="34">
        <f>_xlfn.LET(_xlpm.horas,O302,_xlpm.feriados,IF($H302="CO",FER_CO,FER_EC),_xlpm.capacidad,NETWORKDAYS(O$3,O$4,_xlpm.feriados)*INDEX(Consultores!$C$6:$C$65,MATCH($A302,Consultores!$A$6:$A$65,0)),IF(_xlpm.horas=0,"",IFERROR(_xlpm.horas/_xlpm.capacidad,"")))</f>
        <v/>
      </c>
    </row>
    <row r="303">
      <c r="A303" s="25" t="n"/>
      <c r="B303" s="25" t="n"/>
      <c r="C303" s="25" t="n"/>
      <c r="D303" s="30" t="n"/>
      <c r="E303" s="30" t="n"/>
      <c r="F303" s="26" t="n"/>
      <c r="G303" s="25" t="n"/>
      <c r="H303" s="31">
        <f>IF($A303="","",IFERROR(INDEX(Consultores!$B$6:$B$65,MATCH($A303,Consultores!$A$6:$A$65,0)),"No existe"))</f>
        <v/>
      </c>
      <c r="I303" s="32">
        <f>IF($F303="",0,$F303/5)</f>
        <v/>
      </c>
      <c r="J303" s="33">
        <f>_xlfn.LET(_xlpm.inicio,MAX($D303,J$3),_xlpm.fin,MIN($E303,J$4),_xlpm.feriados,IF($H303="CO",FER_CO,FER_EC),_xlpm.dias,IF(_xlpm.inicio&gt;_xlpm.fin,0,NETWORKDAYS(_xlpm.inicio,_xlpm.fin,_xlpm.feriados)),_xlpm.factor,IF($G303="Probable",IF(Parametros!$B$6="Sí",1,0),1),IF(OR($A303="",$D303="",$E303=""),0,_xlpm.dias*$I303*_xlpm.factor))</f>
        <v/>
      </c>
      <c r="K303" s="33">
        <f>_xlfn.LET(_xlpm.inicio,MAX($D303,K$3),_xlpm.fin,MIN($E303,K$4),_xlpm.feriados,IF($H303="CO",FER_CO,FER_EC),_xlpm.dias,IF(_xlpm.inicio&gt;_xlpm.fin,0,NETWORKDAYS(_xlpm.inicio,_xlpm.fin,_xlpm.feriados)),_xlpm.factor,IF($G303="Probable",IF(Parametros!$B$6="Sí",1,0),1),IF(OR($A303="",$D303="",$E303=""),0,_xlpm.dias*$I303*_xlpm.factor))</f>
        <v/>
      </c>
      <c r="L303" s="33">
        <f>_xlfn.LET(_xlpm.inicio,MAX($D303,L$3),_xlpm.fin,MIN($E303,L$4),_xlpm.feriados,IF($H303="CO",FER_CO,FER_EC),_xlpm.dias,IF(_xlpm.inicio&gt;_xlpm.fin,0,NETWORKDAYS(_xlpm.inicio,_xlpm.fin,_xlpm.feriados)),_xlpm.factor,IF($G303="Probable",IF(Parametros!$B$6="Sí",1,0),1),IF(OR($A303="",$D303="",$E303=""),0,_xlpm.dias*$I303*_xlpm.factor))</f>
        <v/>
      </c>
      <c r="M303" s="33">
        <f>_xlfn.LET(_xlpm.inicio,MAX($D303,M$3),_xlpm.fin,MIN($E303,M$4),_xlpm.feriados,IF($H303="CO",FER_CO,FER_EC),_xlpm.dias,IF(_xlpm.inicio&gt;_xlpm.fin,0,NETWORKDAYS(_xlpm.inicio,_xlpm.fin,_xlpm.feriados)),_xlpm.factor,IF($G303="Probable",IF(Parametros!$B$6="Sí",1,0),1),IF(OR($A303="",$D303="",$E303=""),0,_xlpm.dias*$I303*_xlpm.factor))</f>
        <v/>
      </c>
      <c r="N303" s="33">
        <f>_xlfn.LET(_xlpm.inicio,MAX($D303,N$3),_xlpm.fin,MIN($E303,N$4),_xlpm.feriados,IF($H303="CO",FER_CO,FER_EC),_xlpm.dias,IF(_xlpm.inicio&gt;_xlpm.fin,0,NETWORKDAYS(_xlpm.inicio,_xlpm.fin,_xlpm.feriados)),_xlpm.factor,IF($G303="Probable",IF(Parametros!$B$6="Sí",1,0),1),IF(OR($A303="",$D303="",$E303=""),0,_xlpm.dias*$I303*_xlpm.factor))</f>
        <v/>
      </c>
      <c r="O303" s="33">
        <f>_xlfn.LET(_xlpm.inicio,MAX($D303,O$3),_xlpm.fin,MIN($E303,O$4),_xlpm.feriados,IF($H303="CO",FER_CO,FER_EC),_xlpm.dias,IF(_xlpm.inicio&gt;_xlpm.fin,0,NETWORKDAYS(_xlpm.inicio,_xlpm.fin,_xlpm.feriados)),_xlpm.factor,IF($G303="Probable",IF(Parametros!$B$6="Sí",1,0),1),IF(OR($A303="",$D303="",$E303=""),0,_xlpm.dias*$I303*_xlpm.factor))</f>
        <v/>
      </c>
      <c r="P303" s="34">
        <f>_xlfn.LET(_xlpm.horas,J303,_xlpm.feriados,IF($H303="CO",FER_CO,FER_EC),_xlpm.capacidad,NETWORKDAYS(J$3,J$4,_xlpm.feriados)*INDEX(Consultores!$C$6:$C$65,MATCH($A303,Consultores!$A$6:$A$65,0)),IF(_xlpm.horas=0,"",IFERROR(_xlpm.horas/_xlpm.capacidad,"")))</f>
        <v/>
      </c>
      <c r="Q303" s="34">
        <f>_xlfn.LET(_xlpm.horas,K303,_xlpm.feriados,IF($H303="CO",FER_CO,FER_EC),_xlpm.capacidad,NETWORKDAYS(K$3,K$4,_xlpm.feriados)*INDEX(Consultores!$C$6:$C$65,MATCH($A303,Consultores!$A$6:$A$65,0)),IF(_xlpm.horas=0,"",IFERROR(_xlpm.horas/_xlpm.capacidad,"")))</f>
        <v/>
      </c>
      <c r="R303" s="34">
        <f>_xlfn.LET(_xlpm.horas,L303,_xlpm.feriados,IF($H303="CO",FER_CO,FER_EC),_xlpm.capacidad,NETWORKDAYS(L$3,L$4,_xlpm.feriados)*INDEX(Consultores!$C$6:$C$65,MATCH($A303,Consultores!$A$6:$A$65,0)),IF(_xlpm.horas=0,"",IFERROR(_xlpm.horas/_xlpm.capacidad,"")))</f>
        <v/>
      </c>
      <c r="S303" s="34">
        <f>_xlfn.LET(_xlpm.horas,M303,_xlpm.feriados,IF($H303="CO",FER_CO,FER_EC),_xlpm.capacidad,NETWORKDAYS(M$3,M$4,_xlpm.feriados)*INDEX(Consultores!$C$6:$C$65,MATCH($A303,Consultores!$A$6:$A$65,0)),IF(_xlpm.horas=0,"",IFERROR(_xlpm.horas/_xlpm.capacidad,"")))</f>
        <v/>
      </c>
      <c r="T303" s="34">
        <f>_xlfn.LET(_xlpm.horas,N303,_xlpm.feriados,IF($H303="CO",FER_CO,FER_EC),_xlpm.capacidad,NETWORKDAYS(N$3,N$4,_xlpm.feriados)*INDEX(Consultores!$C$6:$C$65,MATCH($A303,Consultores!$A$6:$A$65,0)),IF(_xlpm.horas=0,"",IFERROR(_xlpm.horas/_xlpm.capacidad,"")))</f>
        <v/>
      </c>
      <c r="U303" s="34">
        <f>_xlfn.LET(_xlpm.horas,O303,_xlpm.feriados,IF($H303="CO",FER_CO,FER_EC),_xlpm.capacidad,NETWORKDAYS(O$3,O$4,_xlpm.feriados)*INDEX(Consultores!$C$6:$C$65,MATCH($A303,Consultores!$A$6:$A$65,0)),IF(_xlpm.horas=0,"",IFERROR(_xlpm.horas/_xlpm.capacidad,"")))</f>
        <v/>
      </c>
    </row>
    <row r="304">
      <c r="A304" s="25" t="n"/>
      <c r="B304" s="25" t="n"/>
      <c r="C304" s="25" t="n"/>
      <c r="D304" s="30" t="n"/>
      <c r="E304" s="30" t="n"/>
      <c r="F304" s="26" t="n"/>
      <c r="G304" s="25" t="n"/>
      <c r="H304" s="31">
        <f>IF($A304="","",IFERROR(INDEX(Consultores!$B$6:$B$65,MATCH($A304,Consultores!$A$6:$A$65,0)),"No existe"))</f>
        <v/>
      </c>
      <c r="I304" s="32">
        <f>IF($F304="",0,$F304/5)</f>
        <v/>
      </c>
      <c r="J304" s="33">
        <f>_xlfn.LET(_xlpm.inicio,MAX($D304,J$3),_xlpm.fin,MIN($E304,J$4),_xlpm.feriados,IF($H304="CO",FER_CO,FER_EC),_xlpm.dias,IF(_xlpm.inicio&gt;_xlpm.fin,0,NETWORKDAYS(_xlpm.inicio,_xlpm.fin,_xlpm.feriados)),_xlpm.factor,IF($G304="Probable",IF(Parametros!$B$6="Sí",1,0),1),IF(OR($A304="",$D304="",$E304=""),0,_xlpm.dias*$I304*_xlpm.factor))</f>
        <v/>
      </c>
      <c r="K304" s="33">
        <f>_xlfn.LET(_xlpm.inicio,MAX($D304,K$3),_xlpm.fin,MIN($E304,K$4),_xlpm.feriados,IF($H304="CO",FER_CO,FER_EC),_xlpm.dias,IF(_xlpm.inicio&gt;_xlpm.fin,0,NETWORKDAYS(_xlpm.inicio,_xlpm.fin,_xlpm.feriados)),_xlpm.factor,IF($G304="Probable",IF(Parametros!$B$6="Sí",1,0),1),IF(OR($A304="",$D304="",$E304=""),0,_xlpm.dias*$I304*_xlpm.factor))</f>
        <v/>
      </c>
      <c r="L304" s="33">
        <f>_xlfn.LET(_xlpm.inicio,MAX($D304,L$3),_xlpm.fin,MIN($E304,L$4),_xlpm.feriados,IF($H304="CO",FER_CO,FER_EC),_xlpm.dias,IF(_xlpm.inicio&gt;_xlpm.fin,0,NETWORKDAYS(_xlpm.inicio,_xlpm.fin,_xlpm.feriados)),_xlpm.factor,IF($G304="Probable",IF(Parametros!$B$6="Sí",1,0),1),IF(OR($A304="",$D304="",$E304=""),0,_xlpm.dias*$I304*_xlpm.factor))</f>
        <v/>
      </c>
      <c r="M304" s="33">
        <f>_xlfn.LET(_xlpm.inicio,MAX($D304,M$3),_xlpm.fin,MIN($E304,M$4),_xlpm.feriados,IF($H304="CO",FER_CO,FER_EC),_xlpm.dias,IF(_xlpm.inicio&gt;_xlpm.fin,0,NETWORKDAYS(_xlpm.inicio,_xlpm.fin,_xlpm.feriados)),_xlpm.factor,IF($G304="Probable",IF(Parametros!$B$6="Sí",1,0),1),IF(OR($A304="",$D304="",$E304=""),0,_xlpm.dias*$I304*_xlpm.factor))</f>
        <v/>
      </c>
      <c r="N304" s="33">
        <f>_xlfn.LET(_xlpm.inicio,MAX($D304,N$3),_xlpm.fin,MIN($E304,N$4),_xlpm.feriados,IF($H304="CO",FER_CO,FER_EC),_xlpm.dias,IF(_xlpm.inicio&gt;_xlpm.fin,0,NETWORKDAYS(_xlpm.inicio,_xlpm.fin,_xlpm.feriados)),_xlpm.factor,IF($G304="Probable",IF(Parametros!$B$6="Sí",1,0),1),IF(OR($A304="",$D304="",$E304=""),0,_xlpm.dias*$I304*_xlpm.factor))</f>
        <v/>
      </c>
      <c r="O304" s="33">
        <f>_xlfn.LET(_xlpm.inicio,MAX($D304,O$3),_xlpm.fin,MIN($E304,O$4),_xlpm.feriados,IF($H304="CO",FER_CO,FER_EC),_xlpm.dias,IF(_xlpm.inicio&gt;_xlpm.fin,0,NETWORKDAYS(_xlpm.inicio,_xlpm.fin,_xlpm.feriados)),_xlpm.factor,IF($G304="Probable",IF(Parametros!$B$6="Sí",1,0),1),IF(OR($A304="",$D304="",$E304=""),0,_xlpm.dias*$I304*_xlpm.factor))</f>
        <v/>
      </c>
      <c r="P304" s="34">
        <f>_xlfn.LET(_xlpm.horas,J304,_xlpm.feriados,IF($H304="CO",FER_CO,FER_EC),_xlpm.capacidad,NETWORKDAYS(J$3,J$4,_xlpm.feriados)*INDEX(Consultores!$C$6:$C$65,MATCH($A304,Consultores!$A$6:$A$65,0)),IF(_xlpm.horas=0,"",IFERROR(_xlpm.horas/_xlpm.capacidad,"")))</f>
        <v/>
      </c>
      <c r="Q304" s="34">
        <f>_xlfn.LET(_xlpm.horas,K304,_xlpm.feriados,IF($H304="CO",FER_CO,FER_EC),_xlpm.capacidad,NETWORKDAYS(K$3,K$4,_xlpm.feriados)*INDEX(Consultores!$C$6:$C$65,MATCH($A304,Consultores!$A$6:$A$65,0)),IF(_xlpm.horas=0,"",IFERROR(_xlpm.horas/_xlpm.capacidad,"")))</f>
        <v/>
      </c>
      <c r="R304" s="34">
        <f>_xlfn.LET(_xlpm.horas,L304,_xlpm.feriados,IF($H304="CO",FER_CO,FER_EC),_xlpm.capacidad,NETWORKDAYS(L$3,L$4,_xlpm.feriados)*INDEX(Consultores!$C$6:$C$65,MATCH($A304,Consultores!$A$6:$A$65,0)),IF(_xlpm.horas=0,"",IFERROR(_xlpm.horas/_xlpm.capacidad,"")))</f>
        <v/>
      </c>
      <c r="S304" s="34">
        <f>_xlfn.LET(_xlpm.horas,M304,_xlpm.feriados,IF($H304="CO",FER_CO,FER_EC),_xlpm.capacidad,NETWORKDAYS(M$3,M$4,_xlpm.feriados)*INDEX(Consultores!$C$6:$C$65,MATCH($A304,Consultores!$A$6:$A$65,0)),IF(_xlpm.horas=0,"",IFERROR(_xlpm.horas/_xlpm.capacidad,"")))</f>
        <v/>
      </c>
      <c r="T304" s="34">
        <f>_xlfn.LET(_xlpm.horas,N304,_xlpm.feriados,IF($H304="CO",FER_CO,FER_EC),_xlpm.capacidad,NETWORKDAYS(N$3,N$4,_xlpm.feriados)*INDEX(Consultores!$C$6:$C$65,MATCH($A304,Consultores!$A$6:$A$65,0)),IF(_xlpm.horas=0,"",IFERROR(_xlpm.horas/_xlpm.capacidad,"")))</f>
        <v/>
      </c>
      <c r="U304" s="34">
        <f>_xlfn.LET(_xlpm.horas,O304,_xlpm.feriados,IF($H304="CO",FER_CO,FER_EC),_xlpm.capacidad,NETWORKDAYS(O$3,O$4,_xlpm.feriados)*INDEX(Consultores!$C$6:$C$65,MATCH($A304,Consultores!$A$6:$A$65,0)),IF(_xlpm.horas=0,"",IFERROR(_xlpm.horas/_xlpm.capacidad,"")))</f>
        <v/>
      </c>
    </row>
    <row r="305">
      <c r="A305" s="25" t="n"/>
      <c r="B305" s="25" t="n"/>
      <c r="C305" s="25" t="n"/>
      <c r="D305" s="30" t="n"/>
      <c r="E305" s="30" t="n"/>
      <c r="F305" s="26" t="n"/>
      <c r="G305" s="25" t="n"/>
      <c r="H305" s="31">
        <f>IF($A305="","",IFERROR(INDEX(Consultores!$B$6:$B$65,MATCH($A305,Consultores!$A$6:$A$65,0)),"No existe"))</f>
        <v/>
      </c>
      <c r="I305" s="32">
        <f>IF($F305="",0,$F305/5)</f>
        <v/>
      </c>
      <c r="J305" s="33">
        <f>_xlfn.LET(_xlpm.inicio,MAX($D305,J$3),_xlpm.fin,MIN($E305,J$4),_xlpm.feriados,IF($H305="CO",FER_CO,FER_EC),_xlpm.dias,IF(_xlpm.inicio&gt;_xlpm.fin,0,NETWORKDAYS(_xlpm.inicio,_xlpm.fin,_xlpm.feriados)),_xlpm.factor,IF($G305="Probable",IF(Parametros!$B$6="Sí",1,0),1),IF(OR($A305="",$D305="",$E305=""),0,_xlpm.dias*$I305*_xlpm.factor))</f>
        <v/>
      </c>
      <c r="K305" s="33">
        <f>_xlfn.LET(_xlpm.inicio,MAX($D305,K$3),_xlpm.fin,MIN($E305,K$4),_xlpm.feriados,IF($H305="CO",FER_CO,FER_EC),_xlpm.dias,IF(_xlpm.inicio&gt;_xlpm.fin,0,NETWORKDAYS(_xlpm.inicio,_xlpm.fin,_xlpm.feriados)),_xlpm.factor,IF($G305="Probable",IF(Parametros!$B$6="Sí",1,0),1),IF(OR($A305="",$D305="",$E305=""),0,_xlpm.dias*$I305*_xlpm.factor))</f>
        <v/>
      </c>
      <c r="L305" s="33">
        <f>_xlfn.LET(_xlpm.inicio,MAX($D305,L$3),_xlpm.fin,MIN($E305,L$4),_xlpm.feriados,IF($H305="CO",FER_CO,FER_EC),_xlpm.dias,IF(_xlpm.inicio&gt;_xlpm.fin,0,NETWORKDAYS(_xlpm.inicio,_xlpm.fin,_xlpm.feriados)),_xlpm.factor,IF($G305="Probable",IF(Parametros!$B$6="Sí",1,0),1),IF(OR($A305="",$D305="",$E305=""),0,_xlpm.dias*$I305*_xlpm.factor))</f>
        <v/>
      </c>
      <c r="M305" s="33">
        <f>_xlfn.LET(_xlpm.inicio,MAX($D305,M$3),_xlpm.fin,MIN($E305,M$4),_xlpm.feriados,IF($H305="CO",FER_CO,FER_EC),_xlpm.dias,IF(_xlpm.inicio&gt;_xlpm.fin,0,NETWORKDAYS(_xlpm.inicio,_xlpm.fin,_xlpm.feriados)),_xlpm.factor,IF($G305="Probable",IF(Parametros!$B$6="Sí",1,0),1),IF(OR($A305="",$D305="",$E305=""),0,_xlpm.dias*$I305*_xlpm.factor))</f>
        <v/>
      </c>
      <c r="N305" s="33">
        <f>_xlfn.LET(_xlpm.inicio,MAX($D305,N$3),_xlpm.fin,MIN($E305,N$4),_xlpm.feriados,IF($H305="CO",FER_CO,FER_EC),_xlpm.dias,IF(_xlpm.inicio&gt;_xlpm.fin,0,NETWORKDAYS(_xlpm.inicio,_xlpm.fin,_xlpm.feriados)),_xlpm.factor,IF($G305="Probable",IF(Parametros!$B$6="Sí",1,0),1),IF(OR($A305="",$D305="",$E305=""),0,_xlpm.dias*$I305*_xlpm.factor))</f>
        <v/>
      </c>
      <c r="O305" s="33">
        <f>_xlfn.LET(_xlpm.inicio,MAX($D305,O$3),_xlpm.fin,MIN($E305,O$4),_xlpm.feriados,IF($H305="CO",FER_CO,FER_EC),_xlpm.dias,IF(_xlpm.inicio&gt;_xlpm.fin,0,NETWORKDAYS(_xlpm.inicio,_xlpm.fin,_xlpm.feriados)),_xlpm.factor,IF($G305="Probable",IF(Parametros!$B$6="Sí",1,0),1),IF(OR($A305="",$D305="",$E305=""),0,_xlpm.dias*$I305*_xlpm.factor))</f>
        <v/>
      </c>
      <c r="P305" s="34">
        <f>_xlfn.LET(_xlpm.horas,J305,_xlpm.feriados,IF($H305="CO",FER_CO,FER_EC),_xlpm.capacidad,NETWORKDAYS(J$3,J$4,_xlpm.feriados)*INDEX(Consultores!$C$6:$C$65,MATCH($A305,Consultores!$A$6:$A$65,0)),IF(_xlpm.horas=0,"",IFERROR(_xlpm.horas/_xlpm.capacidad,"")))</f>
        <v/>
      </c>
      <c r="Q305" s="34">
        <f>_xlfn.LET(_xlpm.horas,K305,_xlpm.feriados,IF($H305="CO",FER_CO,FER_EC),_xlpm.capacidad,NETWORKDAYS(K$3,K$4,_xlpm.feriados)*INDEX(Consultores!$C$6:$C$65,MATCH($A305,Consultores!$A$6:$A$65,0)),IF(_xlpm.horas=0,"",IFERROR(_xlpm.horas/_xlpm.capacidad,"")))</f>
        <v/>
      </c>
      <c r="R305" s="34">
        <f>_xlfn.LET(_xlpm.horas,L305,_xlpm.feriados,IF($H305="CO",FER_CO,FER_EC),_xlpm.capacidad,NETWORKDAYS(L$3,L$4,_xlpm.feriados)*INDEX(Consultores!$C$6:$C$65,MATCH($A305,Consultores!$A$6:$A$65,0)),IF(_xlpm.horas=0,"",IFERROR(_xlpm.horas/_xlpm.capacidad,"")))</f>
        <v/>
      </c>
      <c r="S305" s="34">
        <f>_xlfn.LET(_xlpm.horas,M305,_xlpm.feriados,IF($H305="CO",FER_CO,FER_EC),_xlpm.capacidad,NETWORKDAYS(M$3,M$4,_xlpm.feriados)*INDEX(Consultores!$C$6:$C$65,MATCH($A305,Consultores!$A$6:$A$65,0)),IF(_xlpm.horas=0,"",IFERROR(_xlpm.horas/_xlpm.capacidad,"")))</f>
        <v/>
      </c>
      <c r="T305" s="34">
        <f>_xlfn.LET(_xlpm.horas,N305,_xlpm.feriados,IF($H305="CO",FER_CO,FER_EC),_xlpm.capacidad,NETWORKDAYS(N$3,N$4,_xlpm.feriados)*INDEX(Consultores!$C$6:$C$65,MATCH($A305,Consultores!$A$6:$A$65,0)),IF(_xlpm.horas=0,"",IFERROR(_xlpm.horas/_xlpm.capacidad,"")))</f>
        <v/>
      </c>
      <c r="U305" s="34">
        <f>_xlfn.LET(_xlpm.horas,O305,_xlpm.feriados,IF($H305="CO",FER_CO,FER_EC),_xlpm.capacidad,NETWORKDAYS(O$3,O$4,_xlpm.feriados)*INDEX(Consultores!$C$6:$C$65,MATCH($A305,Consultores!$A$6:$A$65,0)),IF(_xlpm.horas=0,"",IFERROR(_xlpm.horas/_xlpm.capacidad,"")))</f>
        <v/>
      </c>
    </row>
  </sheetData>
  <conditionalFormatting sqref="H6:H305">
    <cfRule type="expression" priority="1" dxfId="4">
      <formula>$H6="No existe"</formula>
    </cfRule>
  </conditionalFormatting>
  <conditionalFormatting sqref="E6:E305">
    <cfRule type="expression" priority="2" dxfId="5">
      <formula>AND($D6&lt;&gt;"",$E6&lt;&gt;"",$E6&lt;$D6)</formula>
    </cfRule>
  </conditionalFormatting>
  <dataValidations count="2">
    <dataValidation sqref="A6:A305" showDropDown="0" showInputMessage="0" showErrorMessage="0" allowBlank="1" type="list">
      <formula1>=Consultores!$A$6:$A$65</formula1>
    </dataValidation>
    <dataValidation sqref="G6:G305" showDropDown="0" showInputMessage="0" showErrorMessage="0" allowBlank="1" type="list">
      <formula1>"Confirmado,Probable"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2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2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Detalle de horas por consultor y mes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</row>
    <row r="2">
      <c r="A2" s="2" t="inlineStr">
        <is>
          <t>Capacidad, horas asignadas y horas disponibles (calculado)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>
      <c r="A4" s="3" t="n"/>
      <c r="B4" s="3" t="n"/>
      <c r="C4" s="27" t="inlineStr">
        <is>
          <t>CAPACIDAD (h)</t>
        </is>
      </c>
      <c r="D4" s="3" t="n"/>
      <c r="E4" s="3" t="n"/>
      <c r="F4" s="3" t="n"/>
      <c r="G4" s="3" t="n"/>
      <c r="H4" s="3" t="n"/>
      <c r="I4" s="3" t="n"/>
      <c r="J4" s="27" t="inlineStr">
        <is>
          <t>HORAS ASIGNADAS</t>
        </is>
      </c>
      <c r="K4" s="3" t="n"/>
      <c r="L4" s="3" t="n"/>
      <c r="M4" s="3" t="n"/>
      <c r="N4" s="3" t="n"/>
      <c r="O4" s="3" t="n"/>
      <c r="P4" s="3" t="n"/>
      <c r="Q4" s="27" t="inlineStr">
        <is>
          <t>HORAS DISPONIBLES</t>
        </is>
      </c>
      <c r="R4" s="3" t="n"/>
      <c r="S4" s="3" t="n"/>
      <c r="T4" s="3" t="n"/>
      <c r="U4" s="3" t="n"/>
      <c r="V4" s="3" t="n"/>
    </row>
    <row r="5">
      <c r="A5" s="7" t="inlineStr">
        <is>
          <t>Consultor</t>
        </is>
      </c>
      <c r="B5" s="7" t="inlineStr">
        <is>
          <t>País</t>
        </is>
      </c>
      <c r="C5" s="8">
        <f>Asignaciones!J3</f>
        <v/>
      </c>
      <c r="D5" s="8">
        <f>Asignaciones!K3</f>
        <v/>
      </c>
      <c r="E5" s="8">
        <f>Asignaciones!L3</f>
        <v/>
      </c>
      <c r="F5" s="8">
        <f>Asignaciones!M3</f>
        <v/>
      </c>
      <c r="G5" s="8">
        <f>Asignaciones!N3</f>
        <v/>
      </c>
      <c r="H5" s="8">
        <f>Asignaciones!O3</f>
        <v/>
      </c>
      <c r="I5" s="3" t="n"/>
      <c r="J5" s="8">
        <f>Asignaciones!J3</f>
        <v/>
      </c>
      <c r="K5" s="8">
        <f>Asignaciones!K3</f>
        <v/>
      </c>
      <c r="L5" s="8">
        <f>Asignaciones!L3</f>
        <v/>
      </c>
      <c r="M5" s="8">
        <f>Asignaciones!M3</f>
        <v/>
      </c>
      <c r="N5" s="8">
        <f>Asignaciones!N3</f>
        <v/>
      </c>
      <c r="O5" s="8">
        <f>Asignaciones!O3</f>
        <v/>
      </c>
      <c r="P5" s="3" t="n"/>
      <c r="Q5" s="8">
        <f>Asignaciones!J3</f>
        <v/>
      </c>
      <c r="R5" s="8">
        <f>Asignaciones!K3</f>
        <v/>
      </c>
      <c r="S5" s="8">
        <f>Asignaciones!L3</f>
        <v/>
      </c>
      <c r="T5" s="8">
        <f>Asignaciones!M3</f>
        <v/>
      </c>
      <c r="U5" s="8">
        <f>Asignaciones!N3</f>
        <v/>
      </c>
      <c r="V5" s="8">
        <f>Asignaciones!O3</f>
        <v/>
      </c>
    </row>
    <row r="6">
      <c r="A6" s="17">
        <f>IF(Consultores!A6="","",Consultores!A6)</f>
        <v/>
      </c>
      <c r="B6" s="17">
        <f>IF(Consultores!A6="","",Consultores!B6)</f>
        <v/>
      </c>
      <c r="C6" s="35">
        <f>_xlfn.LET(_xlpm.feriados,IF($B6="CO",FER_CO,FER_EC),_xlpm.dias,NETWORKDAYS(Asignaciones!J$3,Asignaciones!J$4,_xlpm.feriados),IF($A6="","",_xlpm.dias*Consultores!$C6))</f>
        <v/>
      </c>
      <c r="D6" s="35">
        <f>_xlfn.LET(_xlpm.feriados,IF($B6="CO",FER_CO,FER_EC),_xlpm.dias,NETWORKDAYS(Asignaciones!K$3,Asignaciones!K$4,_xlpm.feriados),IF($A6="","",_xlpm.dias*Consultores!$C6))</f>
        <v/>
      </c>
      <c r="E6" s="35">
        <f>_xlfn.LET(_xlpm.feriados,IF($B6="CO",FER_CO,FER_EC),_xlpm.dias,NETWORKDAYS(Asignaciones!L$3,Asignaciones!L$4,_xlpm.feriados),IF($A6="","",_xlpm.dias*Consultores!$C6))</f>
        <v/>
      </c>
      <c r="F6" s="35">
        <f>_xlfn.LET(_xlpm.feriados,IF($B6="CO",FER_CO,FER_EC),_xlpm.dias,NETWORKDAYS(Asignaciones!M$3,Asignaciones!M$4,_xlpm.feriados),IF($A6="","",_xlpm.dias*Consultores!$C6))</f>
        <v/>
      </c>
      <c r="G6" s="35">
        <f>_xlfn.LET(_xlpm.feriados,IF($B6="CO",FER_CO,FER_EC),_xlpm.dias,NETWORKDAYS(Asignaciones!N$3,Asignaciones!N$4,_xlpm.feriados),IF($A6="","",_xlpm.dias*Consultores!$C6))</f>
        <v/>
      </c>
      <c r="H6" s="35">
        <f>_xlfn.LET(_xlpm.feriados,IF($B6="CO",FER_CO,FER_EC),_xlpm.dias,NETWORKDAYS(Asignaciones!O$3,Asignaciones!O$4,_xlpm.feriados),IF($A6="","",_xlpm.dias*Consultores!$C6))</f>
        <v/>
      </c>
      <c r="I6" s="3" t="n"/>
      <c r="J6" s="35">
        <f>IF($A6="","",SUMIFS(Asignaciones!J$6:J$305,Asignaciones!$A$6:$A$305,$A6))</f>
        <v/>
      </c>
      <c r="K6" s="35">
        <f>IF($A6="","",SUMIFS(Asignaciones!K$6:K$305,Asignaciones!$A$6:$A$305,$A6))</f>
        <v/>
      </c>
      <c r="L6" s="35">
        <f>IF($A6="","",SUMIFS(Asignaciones!L$6:L$305,Asignaciones!$A$6:$A$305,$A6))</f>
        <v/>
      </c>
      <c r="M6" s="35">
        <f>IF($A6="","",SUMIFS(Asignaciones!M$6:M$305,Asignaciones!$A$6:$A$305,$A6))</f>
        <v/>
      </c>
      <c r="N6" s="35">
        <f>IF($A6="","",SUMIFS(Asignaciones!N$6:N$305,Asignaciones!$A$6:$A$305,$A6))</f>
        <v/>
      </c>
      <c r="O6" s="35">
        <f>IF($A6="","",SUMIFS(Asignaciones!O$6:O$305,Asignaciones!$A$6:$A$305,$A6))</f>
        <v/>
      </c>
      <c r="P6" s="3" t="n"/>
      <c r="Q6" s="35">
        <f>IF($A6="","",C6-J6)</f>
        <v/>
      </c>
      <c r="R6" s="35">
        <f>IF($A6="","",D6-K6)</f>
        <v/>
      </c>
      <c r="S6" s="35">
        <f>IF($A6="","",E6-L6)</f>
        <v/>
      </c>
      <c r="T6" s="35">
        <f>IF($A6="","",F6-M6)</f>
        <v/>
      </c>
      <c r="U6" s="35">
        <f>IF($A6="","",G6-N6)</f>
        <v/>
      </c>
      <c r="V6" s="35">
        <f>IF($A6="","",H6-O6)</f>
        <v/>
      </c>
    </row>
    <row r="7">
      <c r="A7" s="17">
        <f>IF(Consultores!A7="","",Consultores!A7)</f>
        <v/>
      </c>
      <c r="B7" s="17">
        <f>IF(Consultores!A7="","",Consultores!B7)</f>
        <v/>
      </c>
      <c r="C7" s="35">
        <f>_xlfn.LET(_xlpm.feriados,IF($B7="CO",FER_CO,FER_EC),_xlpm.dias,NETWORKDAYS(Asignaciones!J$3,Asignaciones!J$4,_xlpm.feriados),IF($A7="","",_xlpm.dias*Consultores!$C7))</f>
        <v/>
      </c>
      <c r="D7" s="35">
        <f>_xlfn.LET(_xlpm.feriados,IF($B7="CO",FER_CO,FER_EC),_xlpm.dias,NETWORKDAYS(Asignaciones!K$3,Asignaciones!K$4,_xlpm.feriados),IF($A7="","",_xlpm.dias*Consultores!$C7))</f>
        <v/>
      </c>
      <c r="E7" s="35">
        <f>_xlfn.LET(_xlpm.feriados,IF($B7="CO",FER_CO,FER_EC),_xlpm.dias,NETWORKDAYS(Asignaciones!L$3,Asignaciones!L$4,_xlpm.feriados),IF($A7="","",_xlpm.dias*Consultores!$C7))</f>
        <v/>
      </c>
      <c r="F7" s="35">
        <f>_xlfn.LET(_xlpm.feriados,IF($B7="CO",FER_CO,FER_EC),_xlpm.dias,NETWORKDAYS(Asignaciones!M$3,Asignaciones!M$4,_xlpm.feriados),IF($A7="","",_xlpm.dias*Consultores!$C7))</f>
        <v/>
      </c>
      <c r="G7" s="35">
        <f>_xlfn.LET(_xlpm.feriados,IF($B7="CO",FER_CO,FER_EC),_xlpm.dias,NETWORKDAYS(Asignaciones!N$3,Asignaciones!N$4,_xlpm.feriados),IF($A7="","",_xlpm.dias*Consultores!$C7))</f>
        <v/>
      </c>
      <c r="H7" s="35">
        <f>_xlfn.LET(_xlpm.feriados,IF($B7="CO",FER_CO,FER_EC),_xlpm.dias,NETWORKDAYS(Asignaciones!O$3,Asignaciones!O$4,_xlpm.feriados),IF($A7="","",_xlpm.dias*Consultores!$C7))</f>
        <v/>
      </c>
      <c r="I7" s="3" t="n"/>
      <c r="J7" s="35">
        <f>IF($A7="","",SUMIFS(Asignaciones!J$6:J$305,Asignaciones!$A$6:$A$305,$A7))</f>
        <v/>
      </c>
      <c r="K7" s="35">
        <f>IF($A7="","",SUMIFS(Asignaciones!K$6:K$305,Asignaciones!$A$6:$A$305,$A7))</f>
        <v/>
      </c>
      <c r="L7" s="35">
        <f>IF($A7="","",SUMIFS(Asignaciones!L$6:L$305,Asignaciones!$A$6:$A$305,$A7))</f>
        <v/>
      </c>
      <c r="M7" s="35">
        <f>IF($A7="","",SUMIFS(Asignaciones!M$6:M$305,Asignaciones!$A$6:$A$305,$A7))</f>
        <v/>
      </c>
      <c r="N7" s="35">
        <f>IF($A7="","",SUMIFS(Asignaciones!N$6:N$305,Asignaciones!$A$6:$A$305,$A7))</f>
        <v/>
      </c>
      <c r="O7" s="35">
        <f>IF($A7="","",SUMIFS(Asignaciones!O$6:O$305,Asignaciones!$A$6:$A$305,$A7))</f>
        <v/>
      </c>
      <c r="P7" s="3" t="n"/>
      <c r="Q7" s="35">
        <f>IF($A7="","",C7-J7)</f>
        <v/>
      </c>
      <c r="R7" s="35">
        <f>IF($A7="","",D7-K7)</f>
        <v/>
      </c>
      <c r="S7" s="35">
        <f>IF($A7="","",E7-L7)</f>
        <v/>
      </c>
      <c r="T7" s="35">
        <f>IF($A7="","",F7-M7)</f>
        <v/>
      </c>
      <c r="U7" s="35">
        <f>IF($A7="","",G7-N7)</f>
        <v/>
      </c>
      <c r="V7" s="35">
        <f>IF($A7="","",H7-O7)</f>
        <v/>
      </c>
    </row>
    <row r="8">
      <c r="A8" s="17">
        <f>IF(Consultores!A8="","",Consultores!A8)</f>
        <v/>
      </c>
      <c r="B8" s="17">
        <f>IF(Consultores!A8="","",Consultores!B8)</f>
        <v/>
      </c>
      <c r="C8" s="35">
        <f>_xlfn.LET(_xlpm.feriados,IF($B8="CO",FER_CO,FER_EC),_xlpm.dias,NETWORKDAYS(Asignaciones!J$3,Asignaciones!J$4,_xlpm.feriados),IF($A8="","",_xlpm.dias*Consultores!$C8))</f>
        <v/>
      </c>
      <c r="D8" s="35">
        <f>_xlfn.LET(_xlpm.feriados,IF($B8="CO",FER_CO,FER_EC),_xlpm.dias,NETWORKDAYS(Asignaciones!K$3,Asignaciones!K$4,_xlpm.feriados),IF($A8="","",_xlpm.dias*Consultores!$C8))</f>
        <v/>
      </c>
      <c r="E8" s="35">
        <f>_xlfn.LET(_xlpm.feriados,IF($B8="CO",FER_CO,FER_EC),_xlpm.dias,NETWORKDAYS(Asignaciones!L$3,Asignaciones!L$4,_xlpm.feriados),IF($A8="","",_xlpm.dias*Consultores!$C8))</f>
        <v/>
      </c>
      <c r="F8" s="35">
        <f>_xlfn.LET(_xlpm.feriados,IF($B8="CO",FER_CO,FER_EC),_xlpm.dias,NETWORKDAYS(Asignaciones!M$3,Asignaciones!M$4,_xlpm.feriados),IF($A8="","",_xlpm.dias*Consultores!$C8))</f>
        <v/>
      </c>
      <c r="G8" s="35">
        <f>_xlfn.LET(_xlpm.feriados,IF($B8="CO",FER_CO,FER_EC),_xlpm.dias,NETWORKDAYS(Asignaciones!N$3,Asignaciones!N$4,_xlpm.feriados),IF($A8="","",_xlpm.dias*Consultores!$C8))</f>
        <v/>
      </c>
      <c r="H8" s="35">
        <f>_xlfn.LET(_xlpm.feriados,IF($B8="CO",FER_CO,FER_EC),_xlpm.dias,NETWORKDAYS(Asignaciones!O$3,Asignaciones!O$4,_xlpm.feriados),IF($A8="","",_xlpm.dias*Consultores!$C8))</f>
        <v/>
      </c>
      <c r="I8" s="3" t="n"/>
      <c r="J8" s="35">
        <f>IF($A8="","",SUMIFS(Asignaciones!J$6:J$305,Asignaciones!$A$6:$A$305,$A8))</f>
        <v/>
      </c>
      <c r="K8" s="35">
        <f>IF($A8="","",SUMIFS(Asignaciones!K$6:K$305,Asignaciones!$A$6:$A$305,$A8))</f>
        <v/>
      </c>
      <c r="L8" s="35">
        <f>IF($A8="","",SUMIFS(Asignaciones!L$6:L$305,Asignaciones!$A$6:$A$305,$A8))</f>
        <v/>
      </c>
      <c r="M8" s="35">
        <f>IF($A8="","",SUMIFS(Asignaciones!M$6:M$305,Asignaciones!$A$6:$A$305,$A8))</f>
        <v/>
      </c>
      <c r="N8" s="35">
        <f>IF($A8="","",SUMIFS(Asignaciones!N$6:N$305,Asignaciones!$A$6:$A$305,$A8))</f>
        <v/>
      </c>
      <c r="O8" s="35">
        <f>IF($A8="","",SUMIFS(Asignaciones!O$6:O$305,Asignaciones!$A$6:$A$305,$A8))</f>
        <v/>
      </c>
      <c r="P8" s="3" t="n"/>
      <c r="Q8" s="35">
        <f>IF($A8="","",C8-J8)</f>
        <v/>
      </c>
      <c r="R8" s="35">
        <f>IF($A8="","",D8-K8)</f>
        <v/>
      </c>
      <c r="S8" s="35">
        <f>IF($A8="","",E8-L8)</f>
        <v/>
      </c>
      <c r="T8" s="35">
        <f>IF($A8="","",F8-M8)</f>
        <v/>
      </c>
      <c r="U8" s="35">
        <f>IF($A8="","",G8-N8)</f>
        <v/>
      </c>
      <c r="V8" s="35">
        <f>IF($A8="","",H8-O8)</f>
        <v/>
      </c>
    </row>
    <row r="9">
      <c r="A9" s="17">
        <f>IF(Consultores!A9="","",Consultores!A9)</f>
        <v/>
      </c>
      <c r="B9" s="17">
        <f>IF(Consultores!A9="","",Consultores!B9)</f>
        <v/>
      </c>
      <c r="C9" s="35">
        <f>_xlfn.LET(_xlpm.feriados,IF($B9="CO",FER_CO,FER_EC),_xlpm.dias,NETWORKDAYS(Asignaciones!J$3,Asignaciones!J$4,_xlpm.feriados),IF($A9="","",_xlpm.dias*Consultores!$C9))</f>
        <v/>
      </c>
      <c r="D9" s="35">
        <f>_xlfn.LET(_xlpm.feriados,IF($B9="CO",FER_CO,FER_EC),_xlpm.dias,NETWORKDAYS(Asignaciones!K$3,Asignaciones!K$4,_xlpm.feriados),IF($A9="","",_xlpm.dias*Consultores!$C9))</f>
        <v/>
      </c>
      <c r="E9" s="35">
        <f>_xlfn.LET(_xlpm.feriados,IF($B9="CO",FER_CO,FER_EC),_xlpm.dias,NETWORKDAYS(Asignaciones!L$3,Asignaciones!L$4,_xlpm.feriados),IF($A9="","",_xlpm.dias*Consultores!$C9))</f>
        <v/>
      </c>
      <c r="F9" s="35">
        <f>_xlfn.LET(_xlpm.feriados,IF($B9="CO",FER_CO,FER_EC),_xlpm.dias,NETWORKDAYS(Asignaciones!M$3,Asignaciones!M$4,_xlpm.feriados),IF($A9="","",_xlpm.dias*Consultores!$C9))</f>
        <v/>
      </c>
      <c r="G9" s="35">
        <f>_xlfn.LET(_xlpm.feriados,IF($B9="CO",FER_CO,FER_EC),_xlpm.dias,NETWORKDAYS(Asignaciones!N$3,Asignaciones!N$4,_xlpm.feriados),IF($A9="","",_xlpm.dias*Consultores!$C9))</f>
        <v/>
      </c>
      <c r="H9" s="35">
        <f>_xlfn.LET(_xlpm.feriados,IF($B9="CO",FER_CO,FER_EC),_xlpm.dias,NETWORKDAYS(Asignaciones!O$3,Asignaciones!O$4,_xlpm.feriados),IF($A9="","",_xlpm.dias*Consultores!$C9))</f>
        <v/>
      </c>
      <c r="I9" s="3" t="n"/>
      <c r="J9" s="35">
        <f>IF($A9="","",SUMIFS(Asignaciones!J$6:J$305,Asignaciones!$A$6:$A$305,$A9))</f>
        <v/>
      </c>
      <c r="K9" s="35">
        <f>IF($A9="","",SUMIFS(Asignaciones!K$6:K$305,Asignaciones!$A$6:$A$305,$A9))</f>
        <v/>
      </c>
      <c r="L9" s="35">
        <f>IF($A9="","",SUMIFS(Asignaciones!L$6:L$305,Asignaciones!$A$6:$A$305,$A9))</f>
        <v/>
      </c>
      <c r="M9" s="35">
        <f>IF($A9="","",SUMIFS(Asignaciones!M$6:M$305,Asignaciones!$A$6:$A$305,$A9))</f>
        <v/>
      </c>
      <c r="N9" s="35">
        <f>IF($A9="","",SUMIFS(Asignaciones!N$6:N$305,Asignaciones!$A$6:$A$305,$A9))</f>
        <v/>
      </c>
      <c r="O9" s="35">
        <f>IF($A9="","",SUMIFS(Asignaciones!O$6:O$305,Asignaciones!$A$6:$A$305,$A9))</f>
        <v/>
      </c>
      <c r="P9" s="3" t="n"/>
      <c r="Q9" s="35">
        <f>IF($A9="","",C9-J9)</f>
        <v/>
      </c>
      <c r="R9" s="35">
        <f>IF($A9="","",D9-K9)</f>
        <v/>
      </c>
      <c r="S9" s="35">
        <f>IF($A9="","",E9-L9)</f>
        <v/>
      </c>
      <c r="T9" s="35">
        <f>IF($A9="","",F9-M9)</f>
        <v/>
      </c>
      <c r="U9" s="35">
        <f>IF($A9="","",G9-N9)</f>
        <v/>
      </c>
      <c r="V9" s="35">
        <f>IF($A9="","",H9-O9)</f>
        <v/>
      </c>
    </row>
    <row r="10">
      <c r="A10" s="17">
        <f>IF(Consultores!A10="","",Consultores!A10)</f>
        <v/>
      </c>
      <c r="B10" s="17">
        <f>IF(Consultores!A10="","",Consultores!B10)</f>
        <v/>
      </c>
      <c r="C10" s="35">
        <f>_xlfn.LET(_xlpm.feriados,IF($B10="CO",FER_CO,FER_EC),_xlpm.dias,NETWORKDAYS(Asignaciones!J$3,Asignaciones!J$4,_xlpm.feriados),IF($A10="","",_xlpm.dias*Consultores!$C10))</f>
        <v/>
      </c>
      <c r="D10" s="35">
        <f>_xlfn.LET(_xlpm.feriados,IF($B10="CO",FER_CO,FER_EC),_xlpm.dias,NETWORKDAYS(Asignaciones!K$3,Asignaciones!K$4,_xlpm.feriados),IF($A10="","",_xlpm.dias*Consultores!$C10))</f>
        <v/>
      </c>
      <c r="E10" s="35">
        <f>_xlfn.LET(_xlpm.feriados,IF($B10="CO",FER_CO,FER_EC),_xlpm.dias,NETWORKDAYS(Asignaciones!L$3,Asignaciones!L$4,_xlpm.feriados),IF($A10="","",_xlpm.dias*Consultores!$C10))</f>
        <v/>
      </c>
      <c r="F10" s="35">
        <f>_xlfn.LET(_xlpm.feriados,IF($B10="CO",FER_CO,FER_EC),_xlpm.dias,NETWORKDAYS(Asignaciones!M$3,Asignaciones!M$4,_xlpm.feriados),IF($A10="","",_xlpm.dias*Consultores!$C10))</f>
        <v/>
      </c>
      <c r="G10" s="35">
        <f>_xlfn.LET(_xlpm.feriados,IF($B10="CO",FER_CO,FER_EC),_xlpm.dias,NETWORKDAYS(Asignaciones!N$3,Asignaciones!N$4,_xlpm.feriados),IF($A10="","",_xlpm.dias*Consultores!$C10))</f>
        <v/>
      </c>
      <c r="H10" s="35">
        <f>_xlfn.LET(_xlpm.feriados,IF($B10="CO",FER_CO,FER_EC),_xlpm.dias,NETWORKDAYS(Asignaciones!O$3,Asignaciones!O$4,_xlpm.feriados),IF($A10="","",_xlpm.dias*Consultores!$C10))</f>
        <v/>
      </c>
      <c r="I10" s="3" t="n"/>
      <c r="J10" s="35">
        <f>IF($A10="","",SUMIFS(Asignaciones!J$6:J$305,Asignaciones!$A$6:$A$305,$A10))</f>
        <v/>
      </c>
      <c r="K10" s="35">
        <f>IF($A10="","",SUMIFS(Asignaciones!K$6:K$305,Asignaciones!$A$6:$A$305,$A10))</f>
        <v/>
      </c>
      <c r="L10" s="35">
        <f>IF($A10="","",SUMIFS(Asignaciones!L$6:L$305,Asignaciones!$A$6:$A$305,$A10))</f>
        <v/>
      </c>
      <c r="M10" s="35">
        <f>IF($A10="","",SUMIFS(Asignaciones!M$6:M$305,Asignaciones!$A$6:$A$305,$A10))</f>
        <v/>
      </c>
      <c r="N10" s="35">
        <f>IF($A10="","",SUMIFS(Asignaciones!N$6:N$305,Asignaciones!$A$6:$A$305,$A10))</f>
        <v/>
      </c>
      <c r="O10" s="35">
        <f>IF($A10="","",SUMIFS(Asignaciones!O$6:O$305,Asignaciones!$A$6:$A$305,$A10))</f>
        <v/>
      </c>
      <c r="P10" s="3" t="n"/>
      <c r="Q10" s="35">
        <f>IF($A10="","",C10-J10)</f>
        <v/>
      </c>
      <c r="R10" s="35">
        <f>IF($A10="","",D10-K10)</f>
        <v/>
      </c>
      <c r="S10" s="35">
        <f>IF($A10="","",E10-L10)</f>
        <v/>
      </c>
      <c r="T10" s="35">
        <f>IF($A10="","",F10-M10)</f>
        <v/>
      </c>
      <c r="U10" s="35">
        <f>IF($A10="","",G10-N10)</f>
        <v/>
      </c>
      <c r="V10" s="35">
        <f>IF($A10="","",H10-O10)</f>
        <v/>
      </c>
    </row>
    <row r="11">
      <c r="A11" s="17">
        <f>IF(Consultores!A11="","",Consultores!A11)</f>
        <v/>
      </c>
      <c r="B11" s="17">
        <f>IF(Consultores!A11="","",Consultores!B11)</f>
        <v/>
      </c>
      <c r="C11" s="35">
        <f>_xlfn.LET(_xlpm.feriados,IF($B11="CO",FER_CO,FER_EC),_xlpm.dias,NETWORKDAYS(Asignaciones!J$3,Asignaciones!J$4,_xlpm.feriados),IF($A11="","",_xlpm.dias*Consultores!$C11))</f>
        <v/>
      </c>
      <c r="D11" s="35">
        <f>_xlfn.LET(_xlpm.feriados,IF($B11="CO",FER_CO,FER_EC),_xlpm.dias,NETWORKDAYS(Asignaciones!K$3,Asignaciones!K$4,_xlpm.feriados),IF($A11="","",_xlpm.dias*Consultores!$C11))</f>
        <v/>
      </c>
      <c r="E11" s="35">
        <f>_xlfn.LET(_xlpm.feriados,IF($B11="CO",FER_CO,FER_EC),_xlpm.dias,NETWORKDAYS(Asignaciones!L$3,Asignaciones!L$4,_xlpm.feriados),IF($A11="","",_xlpm.dias*Consultores!$C11))</f>
        <v/>
      </c>
      <c r="F11" s="35">
        <f>_xlfn.LET(_xlpm.feriados,IF($B11="CO",FER_CO,FER_EC),_xlpm.dias,NETWORKDAYS(Asignaciones!M$3,Asignaciones!M$4,_xlpm.feriados),IF($A11="","",_xlpm.dias*Consultores!$C11))</f>
        <v/>
      </c>
      <c r="G11" s="35">
        <f>_xlfn.LET(_xlpm.feriados,IF($B11="CO",FER_CO,FER_EC),_xlpm.dias,NETWORKDAYS(Asignaciones!N$3,Asignaciones!N$4,_xlpm.feriados),IF($A11="","",_xlpm.dias*Consultores!$C11))</f>
        <v/>
      </c>
      <c r="H11" s="35">
        <f>_xlfn.LET(_xlpm.feriados,IF($B11="CO",FER_CO,FER_EC),_xlpm.dias,NETWORKDAYS(Asignaciones!O$3,Asignaciones!O$4,_xlpm.feriados),IF($A11="","",_xlpm.dias*Consultores!$C11))</f>
        <v/>
      </c>
      <c r="I11" s="3" t="n"/>
      <c r="J11" s="35">
        <f>IF($A11="","",SUMIFS(Asignaciones!J$6:J$305,Asignaciones!$A$6:$A$305,$A11))</f>
        <v/>
      </c>
      <c r="K11" s="35">
        <f>IF($A11="","",SUMIFS(Asignaciones!K$6:K$305,Asignaciones!$A$6:$A$305,$A11))</f>
        <v/>
      </c>
      <c r="L11" s="35">
        <f>IF($A11="","",SUMIFS(Asignaciones!L$6:L$305,Asignaciones!$A$6:$A$305,$A11))</f>
        <v/>
      </c>
      <c r="M11" s="35">
        <f>IF($A11="","",SUMIFS(Asignaciones!M$6:M$305,Asignaciones!$A$6:$A$305,$A11))</f>
        <v/>
      </c>
      <c r="N11" s="35">
        <f>IF($A11="","",SUMIFS(Asignaciones!N$6:N$305,Asignaciones!$A$6:$A$305,$A11))</f>
        <v/>
      </c>
      <c r="O11" s="35">
        <f>IF($A11="","",SUMIFS(Asignaciones!O$6:O$305,Asignaciones!$A$6:$A$305,$A11))</f>
        <v/>
      </c>
      <c r="P11" s="3" t="n"/>
      <c r="Q11" s="35">
        <f>IF($A11="","",C11-J11)</f>
        <v/>
      </c>
      <c r="R11" s="35">
        <f>IF($A11="","",D11-K11)</f>
        <v/>
      </c>
      <c r="S11" s="35">
        <f>IF($A11="","",E11-L11)</f>
        <v/>
      </c>
      <c r="T11" s="35">
        <f>IF($A11="","",F11-M11)</f>
        <v/>
      </c>
      <c r="U11" s="35">
        <f>IF($A11="","",G11-N11)</f>
        <v/>
      </c>
      <c r="V11" s="35">
        <f>IF($A11="","",H11-O11)</f>
        <v/>
      </c>
    </row>
    <row r="12">
      <c r="A12" s="17">
        <f>IF(Consultores!A12="","",Consultores!A12)</f>
        <v/>
      </c>
      <c r="B12" s="17">
        <f>IF(Consultores!A12="","",Consultores!B12)</f>
        <v/>
      </c>
      <c r="C12" s="35">
        <f>_xlfn.LET(_xlpm.feriados,IF($B12="CO",FER_CO,FER_EC),_xlpm.dias,NETWORKDAYS(Asignaciones!J$3,Asignaciones!J$4,_xlpm.feriados),IF($A12="","",_xlpm.dias*Consultores!$C12))</f>
        <v/>
      </c>
      <c r="D12" s="35">
        <f>_xlfn.LET(_xlpm.feriados,IF($B12="CO",FER_CO,FER_EC),_xlpm.dias,NETWORKDAYS(Asignaciones!K$3,Asignaciones!K$4,_xlpm.feriados),IF($A12="","",_xlpm.dias*Consultores!$C12))</f>
        <v/>
      </c>
      <c r="E12" s="35">
        <f>_xlfn.LET(_xlpm.feriados,IF($B12="CO",FER_CO,FER_EC),_xlpm.dias,NETWORKDAYS(Asignaciones!L$3,Asignaciones!L$4,_xlpm.feriados),IF($A12="","",_xlpm.dias*Consultores!$C12))</f>
        <v/>
      </c>
      <c r="F12" s="35">
        <f>_xlfn.LET(_xlpm.feriados,IF($B12="CO",FER_CO,FER_EC),_xlpm.dias,NETWORKDAYS(Asignaciones!M$3,Asignaciones!M$4,_xlpm.feriados),IF($A12="","",_xlpm.dias*Consultores!$C12))</f>
        <v/>
      </c>
      <c r="G12" s="35">
        <f>_xlfn.LET(_xlpm.feriados,IF($B12="CO",FER_CO,FER_EC),_xlpm.dias,NETWORKDAYS(Asignaciones!N$3,Asignaciones!N$4,_xlpm.feriados),IF($A12="","",_xlpm.dias*Consultores!$C12))</f>
        <v/>
      </c>
      <c r="H12" s="35">
        <f>_xlfn.LET(_xlpm.feriados,IF($B12="CO",FER_CO,FER_EC),_xlpm.dias,NETWORKDAYS(Asignaciones!O$3,Asignaciones!O$4,_xlpm.feriados),IF($A12="","",_xlpm.dias*Consultores!$C12))</f>
        <v/>
      </c>
      <c r="I12" s="3" t="n"/>
      <c r="J12" s="35">
        <f>IF($A12="","",SUMIFS(Asignaciones!J$6:J$305,Asignaciones!$A$6:$A$305,$A12))</f>
        <v/>
      </c>
      <c r="K12" s="35">
        <f>IF($A12="","",SUMIFS(Asignaciones!K$6:K$305,Asignaciones!$A$6:$A$305,$A12))</f>
        <v/>
      </c>
      <c r="L12" s="35">
        <f>IF($A12="","",SUMIFS(Asignaciones!L$6:L$305,Asignaciones!$A$6:$A$305,$A12))</f>
        <v/>
      </c>
      <c r="M12" s="35">
        <f>IF($A12="","",SUMIFS(Asignaciones!M$6:M$305,Asignaciones!$A$6:$A$305,$A12))</f>
        <v/>
      </c>
      <c r="N12" s="35">
        <f>IF($A12="","",SUMIFS(Asignaciones!N$6:N$305,Asignaciones!$A$6:$A$305,$A12))</f>
        <v/>
      </c>
      <c r="O12" s="35">
        <f>IF($A12="","",SUMIFS(Asignaciones!O$6:O$305,Asignaciones!$A$6:$A$305,$A12))</f>
        <v/>
      </c>
      <c r="P12" s="3" t="n"/>
      <c r="Q12" s="35">
        <f>IF($A12="","",C12-J12)</f>
        <v/>
      </c>
      <c r="R12" s="35">
        <f>IF($A12="","",D12-K12)</f>
        <v/>
      </c>
      <c r="S12" s="35">
        <f>IF($A12="","",E12-L12)</f>
        <v/>
      </c>
      <c r="T12" s="35">
        <f>IF($A12="","",F12-M12)</f>
        <v/>
      </c>
      <c r="U12" s="35">
        <f>IF($A12="","",G12-N12)</f>
        <v/>
      </c>
      <c r="V12" s="35">
        <f>IF($A12="","",H12-O12)</f>
        <v/>
      </c>
    </row>
    <row r="13">
      <c r="A13" s="17">
        <f>IF(Consultores!A13="","",Consultores!A13)</f>
        <v/>
      </c>
      <c r="B13" s="17">
        <f>IF(Consultores!A13="","",Consultores!B13)</f>
        <v/>
      </c>
      <c r="C13" s="35">
        <f>_xlfn.LET(_xlpm.feriados,IF($B13="CO",FER_CO,FER_EC),_xlpm.dias,NETWORKDAYS(Asignaciones!J$3,Asignaciones!J$4,_xlpm.feriados),IF($A13="","",_xlpm.dias*Consultores!$C13))</f>
        <v/>
      </c>
      <c r="D13" s="35">
        <f>_xlfn.LET(_xlpm.feriados,IF($B13="CO",FER_CO,FER_EC),_xlpm.dias,NETWORKDAYS(Asignaciones!K$3,Asignaciones!K$4,_xlpm.feriados),IF($A13="","",_xlpm.dias*Consultores!$C13))</f>
        <v/>
      </c>
      <c r="E13" s="35">
        <f>_xlfn.LET(_xlpm.feriados,IF($B13="CO",FER_CO,FER_EC),_xlpm.dias,NETWORKDAYS(Asignaciones!L$3,Asignaciones!L$4,_xlpm.feriados),IF($A13="","",_xlpm.dias*Consultores!$C13))</f>
        <v/>
      </c>
      <c r="F13" s="35">
        <f>_xlfn.LET(_xlpm.feriados,IF($B13="CO",FER_CO,FER_EC),_xlpm.dias,NETWORKDAYS(Asignaciones!M$3,Asignaciones!M$4,_xlpm.feriados),IF($A13="","",_xlpm.dias*Consultores!$C13))</f>
        <v/>
      </c>
      <c r="G13" s="35">
        <f>_xlfn.LET(_xlpm.feriados,IF($B13="CO",FER_CO,FER_EC),_xlpm.dias,NETWORKDAYS(Asignaciones!N$3,Asignaciones!N$4,_xlpm.feriados),IF($A13="","",_xlpm.dias*Consultores!$C13))</f>
        <v/>
      </c>
      <c r="H13" s="35">
        <f>_xlfn.LET(_xlpm.feriados,IF($B13="CO",FER_CO,FER_EC),_xlpm.dias,NETWORKDAYS(Asignaciones!O$3,Asignaciones!O$4,_xlpm.feriados),IF($A13="","",_xlpm.dias*Consultores!$C13))</f>
        <v/>
      </c>
      <c r="I13" s="3" t="n"/>
      <c r="J13" s="35">
        <f>IF($A13="","",SUMIFS(Asignaciones!J$6:J$305,Asignaciones!$A$6:$A$305,$A13))</f>
        <v/>
      </c>
      <c r="K13" s="35">
        <f>IF($A13="","",SUMIFS(Asignaciones!K$6:K$305,Asignaciones!$A$6:$A$305,$A13))</f>
        <v/>
      </c>
      <c r="L13" s="35">
        <f>IF($A13="","",SUMIFS(Asignaciones!L$6:L$305,Asignaciones!$A$6:$A$305,$A13))</f>
        <v/>
      </c>
      <c r="M13" s="35">
        <f>IF($A13="","",SUMIFS(Asignaciones!M$6:M$305,Asignaciones!$A$6:$A$305,$A13))</f>
        <v/>
      </c>
      <c r="N13" s="35">
        <f>IF($A13="","",SUMIFS(Asignaciones!N$6:N$305,Asignaciones!$A$6:$A$305,$A13))</f>
        <v/>
      </c>
      <c r="O13" s="35">
        <f>IF($A13="","",SUMIFS(Asignaciones!O$6:O$305,Asignaciones!$A$6:$A$305,$A13))</f>
        <v/>
      </c>
      <c r="P13" s="3" t="n"/>
      <c r="Q13" s="35">
        <f>IF($A13="","",C13-J13)</f>
        <v/>
      </c>
      <c r="R13" s="35">
        <f>IF($A13="","",D13-K13)</f>
        <v/>
      </c>
      <c r="S13" s="35">
        <f>IF($A13="","",E13-L13)</f>
        <v/>
      </c>
      <c r="T13" s="35">
        <f>IF($A13="","",F13-M13)</f>
        <v/>
      </c>
      <c r="U13" s="35">
        <f>IF($A13="","",G13-N13)</f>
        <v/>
      </c>
      <c r="V13" s="35">
        <f>IF($A13="","",H13-O13)</f>
        <v/>
      </c>
    </row>
    <row r="14">
      <c r="A14" s="17">
        <f>IF(Consultores!A14="","",Consultores!A14)</f>
        <v/>
      </c>
      <c r="B14" s="17">
        <f>IF(Consultores!A14="","",Consultores!B14)</f>
        <v/>
      </c>
      <c r="C14" s="35">
        <f>_xlfn.LET(_xlpm.feriados,IF($B14="CO",FER_CO,FER_EC),_xlpm.dias,NETWORKDAYS(Asignaciones!J$3,Asignaciones!J$4,_xlpm.feriados),IF($A14="","",_xlpm.dias*Consultores!$C14))</f>
        <v/>
      </c>
      <c r="D14" s="35">
        <f>_xlfn.LET(_xlpm.feriados,IF($B14="CO",FER_CO,FER_EC),_xlpm.dias,NETWORKDAYS(Asignaciones!K$3,Asignaciones!K$4,_xlpm.feriados),IF($A14="","",_xlpm.dias*Consultores!$C14))</f>
        <v/>
      </c>
      <c r="E14" s="35">
        <f>_xlfn.LET(_xlpm.feriados,IF($B14="CO",FER_CO,FER_EC),_xlpm.dias,NETWORKDAYS(Asignaciones!L$3,Asignaciones!L$4,_xlpm.feriados),IF($A14="","",_xlpm.dias*Consultores!$C14))</f>
        <v/>
      </c>
      <c r="F14" s="35">
        <f>_xlfn.LET(_xlpm.feriados,IF($B14="CO",FER_CO,FER_EC),_xlpm.dias,NETWORKDAYS(Asignaciones!M$3,Asignaciones!M$4,_xlpm.feriados),IF($A14="","",_xlpm.dias*Consultores!$C14))</f>
        <v/>
      </c>
      <c r="G14" s="35">
        <f>_xlfn.LET(_xlpm.feriados,IF($B14="CO",FER_CO,FER_EC),_xlpm.dias,NETWORKDAYS(Asignaciones!N$3,Asignaciones!N$4,_xlpm.feriados),IF($A14="","",_xlpm.dias*Consultores!$C14))</f>
        <v/>
      </c>
      <c r="H14" s="35">
        <f>_xlfn.LET(_xlpm.feriados,IF($B14="CO",FER_CO,FER_EC),_xlpm.dias,NETWORKDAYS(Asignaciones!O$3,Asignaciones!O$4,_xlpm.feriados),IF($A14="","",_xlpm.dias*Consultores!$C14))</f>
        <v/>
      </c>
      <c r="I14" s="3" t="n"/>
      <c r="J14" s="35">
        <f>IF($A14="","",SUMIFS(Asignaciones!J$6:J$305,Asignaciones!$A$6:$A$305,$A14))</f>
        <v/>
      </c>
      <c r="K14" s="35">
        <f>IF($A14="","",SUMIFS(Asignaciones!K$6:K$305,Asignaciones!$A$6:$A$305,$A14))</f>
        <v/>
      </c>
      <c r="L14" s="35">
        <f>IF($A14="","",SUMIFS(Asignaciones!L$6:L$305,Asignaciones!$A$6:$A$305,$A14))</f>
        <v/>
      </c>
      <c r="M14" s="35">
        <f>IF($A14="","",SUMIFS(Asignaciones!M$6:M$305,Asignaciones!$A$6:$A$305,$A14))</f>
        <v/>
      </c>
      <c r="N14" s="35">
        <f>IF($A14="","",SUMIFS(Asignaciones!N$6:N$305,Asignaciones!$A$6:$A$305,$A14))</f>
        <v/>
      </c>
      <c r="O14" s="35">
        <f>IF($A14="","",SUMIFS(Asignaciones!O$6:O$305,Asignaciones!$A$6:$A$305,$A14))</f>
        <v/>
      </c>
      <c r="P14" s="3" t="n"/>
      <c r="Q14" s="35">
        <f>IF($A14="","",C14-J14)</f>
        <v/>
      </c>
      <c r="R14" s="35">
        <f>IF($A14="","",D14-K14)</f>
        <v/>
      </c>
      <c r="S14" s="35">
        <f>IF($A14="","",E14-L14)</f>
        <v/>
      </c>
      <c r="T14" s="35">
        <f>IF($A14="","",F14-M14)</f>
        <v/>
      </c>
      <c r="U14" s="35">
        <f>IF($A14="","",G14-N14)</f>
        <v/>
      </c>
      <c r="V14" s="35">
        <f>IF($A14="","",H14-O14)</f>
        <v/>
      </c>
    </row>
    <row r="15">
      <c r="A15" s="17">
        <f>IF(Consultores!A15="","",Consultores!A15)</f>
        <v/>
      </c>
      <c r="B15" s="17">
        <f>IF(Consultores!A15="","",Consultores!B15)</f>
        <v/>
      </c>
      <c r="C15" s="35">
        <f>_xlfn.LET(_xlpm.feriados,IF($B15="CO",FER_CO,FER_EC),_xlpm.dias,NETWORKDAYS(Asignaciones!J$3,Asignaciones!J$4,_xlpm.feriados),IF($A15="","",_xlpm.dias*Consultores!$C15))</f>
        <v/>
      </c>
      <c r="D15" s="35">
        <f>_xlfn.LET(_xlpm.feriados,IF($B15="CO",FER_CO,FER_EC),_xlpm.dias,NETWORKDAYS(Asignaciones!K$3,Asignaciones!K$4,_xlpm.feriados),IF($A15="","",_xlpm.dias*Consultores!$C15))</f>
        <v/>
      </c>
      <c r="E15" s="35">
        <f>_xlfn.LET(_xlpm.feriados,IF($B15="CO",FER_CO,FER_EC),_xlpm.dias,NETWORKDAYS(Asignaciones!L$3,Asignaciones!L$4,_xlpm.feriados),IF($A15="","",_xlpm.dias*Consultores!$C15))</f>
        <v/>
      </c>
      <c r="F15" s="35">
        <f>_xlfn.LET(_xlpm.feriados,IF($B15="CO",FER_CO,FER_EC),_xlpm.dias,NETWORKDAYS(Asignaciones!M$3,Asignaciones!M$4,_xlpm.feriados),IF($A15="","",_xlpm.dias*Consultores!$C15))</f>
        <v/>
      </c>
      <c r="G15" s="35">
        <f>_xlfn.LET(_xlpm.feriados,IF($B15="CO",FER_CO,FER_EC),_xlpm.dias,NETWORKDAYS(Asignaciones!N$3,Asignaciones!N$4,_xlpm.feriados),IF($A15="","",_xlpm.dias*Consultores!$C15))</f>
        <v/>
      </c>
      <c r="H15" s="35">
        <f>_xlfn.LET(_xlpm.feriados,IF($B15="CO",FER_CO,FER_EC),_xlpm.dias,NETWORKDAYS(Asignaciones!O$3,Asignaciones!O$4,_xlpm.feriados),IF($A15="","",_xlpm.dias*Consultores!$C15))</f>
        <v/>
      </c>
      <c r="I15" s="3" t="n"/>
      <c r="J15" s="35">
        <f>IF($A15="","",SUMIFS(Asignaciones!J$6:J$305,Asignaciones!$A$6:$A$305,$A15))</f>
        <v/>
      </c>
      <c r="K15" s="35">
        <f>IF($A15="","",SUMIFS(Asignaciones!K$6:K$305,Asignaciones!$A$6:$A$305,$A15))</f>
        <v/>
      </c>
      <c r="L15" s="35">
        <f>IF($A15="","",SUMIFS(Asignaciones!L$6:L$305,Asignaciones!$A$6:$A$305,$A15))</f>
        <v/>
      </c>
      <c r="M15" s="35">
        <f>IF($A15="","",SUMIFS(Asignaciones!M$6:M$305,Asignaciones!$A$6:$A$305,$A15))</f>
        <v/>
      </c>
      <c r="N15" s="35">
        <f>IF($A15="","",SUMIFS(Asignaciones!N$6:N$305,Asignaciones!$A$6:$A$305,$A15))</f>
        <v/>
      </c>
      <c r="O15" s="35">
        <f>IF($A15="","",SUMIFS(Asignaciones!O$6:O$305,Asignaciones!$A$6:$A$305,$A15))</f>
        <v/>
      </c>
      <c r="P15" s="3" t="n"/>
      <c r="Q15" s="35">
        <f>IF($A15="","",C15-J15)</f>
        <v/>
      </c>
      <c r="R15" s="35">
        <f>IF($A15="","",D15-K15)</f>
        <v/>
      </c>
      <c r="S15" s="35">
        <f>IF($A15="","",E15-L15)</f>
        <v/>
      </c>
      <c r="T15" s="35">
        <f>IF($A15="","",F15-M15)</f>
        <v/>
      </c>
      <c r="U15" s="35">
        <f>IF($A15="","",G15-N15)</f>
        <v/>
      </c>
      <c r="V15" s="35">
        <f>IF($A15="","",H15-O15)</f>
        <v/>
      </c>
    </row>
    <row r="16">
      <c r="A16" s="17">
        <f>IF(Consultores!A16="","",Consultores!A16)</f>
        <v/>
      </c>
      <c r="B16" s="17">
        <f>IF(Consultores!A16="","",Consultores!B16)</f>
        <v/>
      </c>
      <c r="C16" s="35">
        <f>_xlfn.LET(_xlpm.feriados,IF($B16="CO",FER_CO,FER_EC),_xlpm.dias,NETWORKDAYS(Asignaciones!J$3,Asignaciones!J$4,_xlpm.feriados),IF($A16="","",_xlpm.dias*Consultores!$C16))</f>
        <v/>
      </c>
      <c r="D16" s="35">
        <f>_xlfn.LET(_xlpm.feriados,IF($B16="CO",FER_CO,FER_EC),_xlpm.dias,NETWORKDAYS(Asignaciones!K$3,Asignaciones!K$4,_xlpm.feriados),IF($A16="","",_xlpm.dias*Consultores!$C16))</f>
        <v/>
      </c>
      <c r="E16" s="35">
        <f>_xlfn.LET(_xlpm.feriados,IF($B16="CO",FER_CO,FER_EC),_xlpm.dias,NETWORKDAYS(Asignaciones!L$3,Asignaciones!L$4,_xlpm.feriados),IF($A16="","",_xlpm.dias*Consultores!$C16))</f>
        <v/>
      </c>
      <c r="F16" s="35">
        <f>_xlfn.LET(_xlpm.feriados,IF($B16="CO",FER_CO,FER_EC),_xlpm.dias,NETWORKDAYS(Asignaciones!M$3,Asignaciones!M$4,_xlpm.feriados),IF($A16="","",_xlpm.dias*Consultores!$C16))</f>
        <v/>
      </c>
      <c r="G16" s="35">
        <f>_xlfn.LET(_xlpm.feriados,IF($B16="CO",FER_CO,FER_EC),_xlpm.dias,NETWORKDAYS(Asignaciones!N$3,Asignaciones!N$4,_xlpm.feriados),IF($A16="","",_xlpm.dias*Consultores!$C16))</f>
        <v/>
      </c>
      <c r="H16" s="35">
        <f>_xlfn.LET(_xlpm.feriados,IF($B16="CO",FER_CO,FER_EC),_xlpm.dias,NETWORKDAYS(Asignaciones!O$3,Asignaciones!O$4,_xlpm.feriados),IF($A16="","",_xlpm.dias*Consultores!$C16))</f>
        <v/>
      </c>
      <c r="I16" s="3" t="n"/>
      <c r="J16" s="35">
        <f>IF($A16="","",SUMIFS(Asignaciones!J$6:J$305,Asignaciones!$A$6:$A$305,$A16))</f>
        <v/>
      </c>
      <c r="K16" s="35">
        <f>IF($A16="","",SUMIFS(Asignaciones!K$6:K$305,Asignaciones!$A$6:$A$305,$A16))</f>
        <v/>
      </c>
      <c r="L16" s="35">
        <f>IF($A16="","",SUMIFS(Asignaciones!L$6:L$305,Asignaciones!$A$6:$A$305,$A16))</f>
        <v/>
      </c>
      <c r="M16" s="35">
        <f>IF($A16="","",SUMIFS(Asignaciones!M$6:M$305,Asignaciones!$A$6:$A$305,$A16))</f>
        <v/>
      </c>
      <c r="N16" s="35">
        <f>IF($A16="","",SUMIFS(Asignaciones!N$6:N$305,Asignaciones!$A$6:$A$305,$A16))</f>
        <v/>
      </c>
      <c r="O16" s="35">
        <f>IF($A16="","",SUMIFS(Asignaciones!O$6:O$305,Asignaciones!$A$6:$A$305,$A16))</f>
        <v/>
      </c>
      <c r="P16" s="3" t="n"/>
      <c r="Q16" s="35">
        <f>IF($A16="","",C16-J16)</f>
        <v/>
      </c>
      <c r="R16" s="35">
        <f>IF($A16="","",D16-K16)</f>
        <v/>
      </c>
      <c r="S16" s="35">
        <f>IF($A16="","",E16-L16)</f>
        <v/>
      </c>
      <c r="T16" s="35">
        <f>IF($A16="","",F16-M16)</f>
        <v/>
      </c>
      <c r="U16" s="35">
        <f>IF($A16="","",G16-N16)</f>
        <v/>
      </c>
      <c r="V16" s="35">
        <f>IF($A16="","",H16-O16)</f>
        <v/>
      </c>
    </row>
    <row r="17">
      <c r="A17" s="17">
        <f>IF(Consultores!A17="","",Consultores!A17)</f>
        <v/>
      </c>
      <c r="B17" s="17">
        <f>IF(Consultores!A17="","",Consultores!B17)</f>
        <v/>
      </c>
      <c r="C17" s="35">
        <f>_xlfn.LET(_xlpm.feriados,IF($B17="CO",FER_CO,FER_EC),_xlpm.dias,NETWORKDAYS(Asignaciones!J$3,Asignaciones!J$4,_xlpm.feriados),IF($A17="","",_xlpm.dias*Consultores!$C17))</f>
        <v/>
      </c>
      <c r="D17" s="35">
        <f>_xlfn.LET(_xlpm.feriados,IF($B17="CO",FER_CO,FER_EC),_xlpm.dias,NETWORKDAYS(Asignaciones!K$3,Asignaciones!K$4,_xlpm.feriados),IF($A17="","",_xlpm.dias*Consultores!$C17))</f>
        <v/>
      </c>
      <c r="E17" s="35">
        <f>_xlfn.LET(_xlpm.feriados,IF($B17="CO",FER_CO,FER_EC),_xlpm.dias,NETWORKDAYS(Asignaciones!L$3,Asignaciones!L$4,_xlpm.feriados),IF($A17="","",_xlpm.dias*Consultores!$C17))</f>
        <v/>
      </c>
      <c r="F17" s="35">
        <f>_xlfn.LET(_xlpm.feriados,IF($B17="CO",FER_CO,FER_EC),_xlpm.dias,NETWORKDAYS(Asignaciones!M$3,Asignaciones!M$4,_xlpm.feriados),IF($A17="","",_xlpm.dias*Consultores!$C17))</f>
        <v/>
      </c>
      <c r="G17" s="35">
        <f>_xlfn.LET(_xlpm.feriados,IF($B17="CO",FER_CO,FER_EC),_xlpm.dias,NETWORKDAYS(Asignaciones!N$3,Asignaciones!N$4,_xlpm.feriados),IF($A17="","",_xlpm.dias*Consultores!$C17))</f>
        <v/>
      </c>
      <c r="H17" s="35">
        <f>_xlfn.LET(_xlpm.feriados,IF($B17="CO",FER_CO,FER_EC),_xlpm.dias,NETWORKDAYS(Asignaciones!O$3,Asignaciones!O$4,_xlpm.feriados),IF($A17="","",_xlpm.dias*Consultores!$C17))</f>
        <v/>
      </c>
      <c r="I17" s="3" t="n"/>
      <c r="J17" s="35">
        <f>IF($A17="","",SUMIFS(Asignaciones!J$6:J$305,Asignaciones!$A$6:$A$305,$A17))</f>
        <v/>
      </c>
      <c r="K17" s="35">
        <f>IF($A17="","",SUMIFS(Asignaciones!K$6:K$305,Asignaciones!$A$6:$A$305,$A17))</f>
        <v/>
      </c>
      <c r="L17" s="35">
        <f>IF($A17="","",SUMIFS(Asignaciones!L$6:L$305,Asignaciones!$A$6:$A$305,$A17))</f>
        <v/>
      </c>
      <c r="M17" s="35">
        <f>IF($A17="","",SUMIFS(Asignaciones!M$6:M$305,Asignaciones!$A$6:$A$305,$A17))</f>
        <v/>
      </c>
      <c r="N17" s="35">
        <f>IF($A17="","",SUMIFS(Asignaciones!N$6:N$305,Asignaciones!$A$6:$A$305,$A17))</f>
        <v/>
      </c>
      <c r="O17" s="35">
        <f>IF($A17="","",SUMIFS(Asignaciones!O$6:O$305,Asignaciones!$A$6:$A$305,$A17))</f>
        <v/>
      </c>
      <c r="P17" s="3" t="n"/>
      <c r="Q17" s="35">
        <f>IF($A17="","",C17-J17)</f>
        <v/>
      </c>
      <c r="R17" s="35">
        <f>IF($A17="","",D17-K17)</f>
        <v/>
      </c>
      <c r="S17" s="35">
        <f>IF($A17="","",E17-L17)</f>
        <v/>
      </c>
      <c r="T17" s="35">
        <f>IF($A17="","",F17-M17)</f>
        <v/>
      </c>
      <c r="U17" s="35">
        <f>IF($A17="","",G17-N17)</f>
        <v/>
      </c>
      <c r="V17" s="35">
        <f>IF($A17="","",H17-O17)</f>
        <v/>
      </c>
    </row>
    <row r="18">
      <c r="A18" s="17">
        <f>IF(Consultores!A18="","",Consultores!A18)</f>
        <v/>
      </c>
      <c r="B18" s="17">
        <f>IF(Consultores!A18="","",Consultores!B18)</f>
        <v/>
      </c>
      <c r="C18" s="35">
        <f>_xlfn.LET(_xlpm.feriados,IF($B18="CO",FER_CO,FER_EC),_xlpm.dias,NETWORKDAYS(Asignaciones!J$3,Asignaciones!J$4,_xlpm.feriados),IF($A18="","",_xlpm.dias*Consultores!$C18))</f>
        <v/>
      </c>
      <c r="D18" s="35">
        <f>_xlfn.LET(_xlpm.feriados,IF($B18="CO",FER_CO,FER_EC),_xlpm.dias,NETWORKDAYS(Asignaciones!K$3,Asignaciones!K$4,_xlpm.feriados),IF($A18="","",_xlpm.dias*Consultores!$C18))</f>
        <v/>
      </c>
      <c r="E18" s="35">
        <f>_xlfn.LET(_xlpm.feriados,IF($B18="CO",FER_CO,FER_EC),_xlpm.dias,NETWORKDAYS(Asignaciones!L$3,Asignaciones!L$4,_xlpm.feriados),IF($A18="","",_xlpm.dias*Consultores!$C18))</f>
        <v/>
      </c>
      <c r="F18" s="35">
        <f>_xlfn.LET(_xlpm.feriados,IF($B18="CO",FER_CO,FER_EC),_xlpm.dias,NETWORKDAYS(Asignaciones!M$3,Asignaciones!M$4,_xlpm.feriados),IF($A18="","",_xlpm.dias*Consultores!$C18))</f>
        <v/>
      </c>
      <c r="G18" s="35">
        <f>_xlfn.LET(_xlpm.feriados,IF($B18="CO",FER_CO,FER_EC),_xlpm.dias,NETWORKDAYS(Asignaciones!N$3,Asignaciones!N$4,_xlpm.feriados),IF($A18="","",_xlpm.dias*Consultores!$C18))</f>
        <v/>
      </c>
      <c r="H18" s="35">
        <f>_xlfn.LET(_xlpm.feriados,IF($B18="CO",FER_CO,FER_EC),_xlpm.dias,NETWORKDAYS(Asignaciones!O$3,Asignaciones!O$4,_xlpm.feriados),IF($A18="","",_xlpm.dias*Consultores!$C18))</f>
        <v/>
      </c>
      <c r="I18" s="3" t="n"/>
      <c r="J18" s="35">
        <f>IF($A18="","",SUMIFS(Asignaciones!J$6:J$305,Asignaciones!$A$6:$A$305,$A18))</f>
        <v/>
      </c>
      <c r="K18" s="35">
        <f>IF($A18="","",SUMIFS(Asignaciones!K$6:K$305,Asignaciones!$A$6:$A$305,$A18))</f>
        <v/>
      </c>
      <c r="L18" s="35">
        <f>IF($A18="","",SUMIFS(Asignaciones!L$6:L$305,Asignaciones!$A$6:$A$305,$A18))</f>
        <v/>
      </c>
      <c r="M18" s="35">
        <f>IF($A18="","",SUMIFS(Asignaciones!M$6:M$305,Asignaciones!$A$6:$A$305,$A18))</f>
        <v/>
      </c>
      <c r="N18" s="35">
        <f>IF($A18="","",SUMIFS(Asignaciones!N$6:N$305,Asignaciones!$A$6:$A$305,$A18))</f>
        <v/>
      </c>
      <c r="O18" s="35">
        <f>IF($A18="","",SUMIFS(Asignaciones!O$6:O$305,Asignaciones!$A$6:$A$305,$A18))</f>
        <v/>
      </c>
      <c r="P18" s="3" t="n"/>
      <c r="Q18" s="35">
        <f>IF($A18="","",C18-J18)</f>
        <v/>
      </c>
      <c r="R18" s="35">
        <f>IF($A18="","",D18-K18)</f>
        <v/>
      </c>
      <c r="S18" s="35">
        <f>IF($A18="","",E18-L18)</f>
        <v/>
      </c>
      <c r="T18" s="35">
        <f>IF($A18="","",F18-M18)</f>
        <v/>
      </c>
      <c r="U18" s="35">
        <f>IF($A18="","",G18-N18)</f>
        <v/>
      </c>
      <c r="V18" s="35">
        <f>IF($A18="","",H18-O18)</f>
        <v/>
      </c>
    </row>
    <row r="19">
      <c r="A19" s="17">
        <f>IF(Consultores!A19="","",Consultores!A19)</f>
        <v/>
      </c>
      <c r="B19" s="17">
        <f>IF(Consultores!A19="","",Consultores!B19)</f>
        <v/>
      </c>
      <c r="C19" s="35">
        <f>_xlfn.LET(_xlpm.feriados,IF($B19="CO",FER_CO,FER_EC),_xlpm.dias,NETWORKDAYS(Asignaciones!J$3,Asignaciones!J$4,_xlpm.feriados),IF($A19="","",_xlpm.dias*Consultores!$C19))</f>
        <v/>
      </c>
      <c r="D19" s="35">
        <f>_xlfn.LET(_xlpm.feriados,IF($B19="CO",FER_CO,FER_EC),_xlpm.dias,NETWORKDAYS(Asignaciones!K$3,Asignaciones!K$4,_xlpm.feriados),IF($A19="","",_xlpm.dias*Consultores!$C19))</f>
        <v/>
      </c>
      <c r="E19" s="35">
        <f>_xlfn.LET(_xlpm.feriados,IF($B19="CO",FER_CO,FER_EC),_xlpm.dias,NETWORKDAYS(Asignaciones!L$3,Asignaciones!L$4,_xlpm.feriados),IF($A19="","",_xlpm.dias*Consultores!$C19))</f>
        <v/>
      </c>
      <c r="F19" s="35">
        <f>_xlfn.LET(_xlpm.feriados,IF($B19="CO",FER_CO,FER_EC),_xlpm.dias,NETWORKDAYS(Asignaciones!M$3,Asignaciones!M$4,_xlpm.feriados),IF($A19="","",_xlpm.dias*Consultores!$C19))</f>
        <v/>
      </c>
      <c r="G19" s="35">
        <f>_xlfn.LET(_xlpm.feriados,IF($B19="CO",FER_CO,FER_EC),_xlpm.dias,NETWORKDAYS(Asignaciones!N$3,Asignaciones!N$4,_xlpm.feriados),IF($A19="","",_xlpm.dias*Consultores!$C19))</f>
        <v/>
      </c>
      <c r="H19" s="35">
        <f>_xlfn.LET(_xlpm.feriados,IF($B19="CO",FER_CO,FER_EC),_xlpm.dias,NETWORKDAYS(Asignaciones!O$3,Asignaciones!O$4,_xlpm.feriados),IF($A19="","",_xlpm.dias*Consultores!$C19))</f>
        <v/>
      </c>
      <c r="I19" s="3" t="n"/>
      <c r="J19" s="35">
        <f>IF($A19="","",SUMIFS(Asignaciones!J$6:J$305,Asignaciones!$A$6:$A$305,$A19))</f>
        <v/>
      </c>
      <c r="K19" s="35">
        <f>IF($A19="","",SUMIFS(Asignaciones!K$6:K$305,Asignaciones!$A$6:$A$305,$A19))</f>
        <v/>
      </c>
      <c r="L19" s="35">
        <f>IF($A19="","",SUMIFS(Asignaciones!L$6:L$305,Asignaciones!$A$6:$A$305,$A19))</f>
        <v/>
      </c>
      <c r="M19" s="35">
        <f>IF($A19="","",SUMIFS(Asignaciones!M$6:M$305,Asignaciones!$A$6:$A$305,$A19))</f>
        <v/>
      </c>
      <c r="N19" s="35">
        <f>IF($A19="","",SUMIFS(Asignaciones!N$6:N$305,Asignaciones!$A$6:$A$305,$A19))</f>
        <v/>
      </c>
      <c r="O19" s="35">
        <f>IF($A19="","",SUMIFS(Asignaciones!O$6:O$305,Asignaciones!$A$6:$A$305,$A19))</f>
        <v/>
      </c>
      <c r="P19" s="3" t="n"/>
      <c r="Q19" s="35">
        <f>IF($A19="","",C19-J19)</f>
        <v/>
      </c>
      <c r="R19" s="35">
        <f>IF($A19="","",D19-K19)</f>
        <v/>
      </c>
      <c r="S19" s="35">
        <f>IF($A19="","",E19-L19)</f>
        <v/>
      </c>
      <c r="T19" s="35">
        <f>IF($A19="","",F19-M19)</f>
        <v/>
      </c>
      <c r="U19" s="35">
        <f>IF($A19="","",G19-N19)</f>
        <v/>
      </c>
      <c r="V19" s="35">
        <f>IF($A19="","",H19-O19)</f>
        <v/>
      </c>
    </row>
    <row r="20">
      <c r="A20" s="17">
        <f>IF(Consultores!A20="","",Consultores!A20)</f>
        <v/>
      </c>
      <c r="B20" s="17">
        <f>IF(Consultores!A20="","",Consultores!B20)</f>
        <v/>
      </c>
      <c r="C20" s="35">
        <f>_xlfn.LET(_xlpm.feriados,IF($B20="CO",FER_CO,FER_EC),_xlpm.dias,NETWORKDAYS(Asignaciones!J$3,Asignaciones!J$4,_xlpm.feriados),IF($A20="","",_xlpm.dias*Consultores!$C20))</f>
        <v/>
      </c>
      <c r="D20" s="35">
        <f>_xlfn.LET(_xlpm.feriados,IF($B20="CO",FER_CO,FER_EC),_xlpm.dias,NETWORKDAYS(Asignaciones!K$3,Asignaciones!K$4,_xlpm.feriados),IF($A20="","",_xlpm.dias*Consultores!$C20))</f>
        <v/>
      </c>
      <c r="E20" s="35">
        <f>_xlfn.LET(_xlpm.feriados,IF($B20="CO",FER_CO,FER_EC),_xlpm.dias,NETWORKDAYS(Asignaciones!L$3,Asignaciones!L$4,_xlpm.feriados),IF($A20="","",_xlpm.dias*Consultores!$C20))</f>
        <v/>
      </c>
      <c r="F20" s="35">
        <f>_xlfn.LET(_xlpm.feriados,IF($B20="CO",FER_CO,FER_EC),_xlpm.dias,NETWORKDAYS(Asignaciones!M$3,Asignaciones!M$4,_xlpm.feriados),IF($A20="","",_xlpm.dias*Consultores!$C20))</f>
        <v/>
      </c>
      <c r="G20" s="35">
        <f>_xlfn.LET(_xlpm.feriados,IF($B20="CO",FER_CO,FER_EC),_xlpm.dias,NETWORKDAYS(Asignaciones!N$3,Asignaciones!N$4,_xlpm.feriados),IF($A20="","",_xlpm.dias*Consultores!$C20))</f>
        <v/>
      </c>
      <c r="H20" s="35">
        <f>_xlfn.LET(_xlpm.feriados,IF($B20="CO",FER_CO,FER_EC),_xlpm.dias,NETWORKDAYS(Asignaciones!O$3,Asignaciones!O$4,_xlpm.feriados),IF($A20="","",_xlpm.dias*Consultores!$C20))</f>
        <v/>
      </c>
      <c r="I20" s="3" t="n"/>
      <c r="J20" s="35">
        <f>IF($A20="","",SUMIFS(Asignaciones!J$6:J$305,Asignaciones!$A$6:$A$305,$A20))</f>
        <v/>
      </c>
      <c r="K20" s="35">
        <f>IF($A20="","",SUMIFS(Asignaciones!K$6:K$305,Asignaciones!$A$6:$A$305,$A20))</f>
        <v/>
      </c>
      <c r="L20" s="35">
        <f>IF($A20="","",SUMIFS(Asignaciones!L$6:L$305,Asignaciones!$A$6:$A$305,$A20))</f>
        <v/>
      </c>
      <c r="M20" s="35">
        <f>IF($A20="","",SUMIFS(Asignaciones!M$6:M$305,Asignaciones!$A$6:$A$305,$A20))</f>
        <v/>
      </c>
      <c r="N20" s="35">
        <f>IF($A20="","",SUMIFS(Asignaciones!N$6:N$305,Asignaciones!$A$6:$A$305,$A20))</f>
        <v/>
      </c>
      <c r="O20" s="35">
        <f>IF($A20="","",SUMIFS(Asignaciones!O$6:O$305,Asignaciones!$A$6:$A$305,$A20))</f>
        <v/>
      </c>
      <c r="P20" s="3" t="n"/>
      <c r="Q20" s="35">
        <f>IF($A20="","",C20-J20)</f>
        <v/>
      </c>
      <c r="R20" s="35">
        <f>IF($A20="","",D20-K20)</f>
        <v/>
      </c>
      <c r="S20" s="35">
        <f>IF($A20="","",E20-L20)</f>
        <v/>
      </c>
      <c r="T20" s="35">
        <f>IF($A20="","",F20-M20)</f>
        <v/>
      </c>
      <c r="U20" s="35">
        <f>IF($A20="","",G20-N20)</f>
        <v/>
      </c>
      <c r="V20" s="35">
        <f>IF($A20="","",H20-O20)</f>
        <v/>
      </c>
    </row>
    <row r="21">
      <c r="A21" s="17">
        <f>IF(Consultores!A21="","",Consultores!A21)</f>
        <v/>
      </c>
      <c r="B21" s="17">
        <f>IF(Consultores!A21="","",Consultores!B21)</f>
        <v/>
      </c>
      <c r="C21" s="35">
        <f>_xlfn.LET(_xlpm.feriados,IF($B21="CO",FER_CO,FER_EC),_xlpm.dias,NETWORKDAYS(Asignaciones!J$3,Asignaciones!J$4,_xlpm.feriados),IF($A21="","",_xlpm.dias*Consultores!$C21))</f>
        <v/>
      </c>
      <c r="D21" s="35">
        <f>_xlfn.LET(_xlpm.feriados,IF($B21="CO",FER_CO,FER_EC),_xlpm.dias,NETWORKDAYS(Asignaciones!K$3,Asignaciones!K$4,_xlpm.feriados),IF($A21="","",_xlpm.dias*Consultores!$C21))</f>
        <v/>
      </c>
      <c r="E21" s="35">
        <f>_xlfn.LET(_xlpm.feriados,IF($B21="CO",FER_CO,FER_EC),_xlpm.dias,NETWORKDAYS(Asignaciones!L$3,Asignaciones!L$4,_xlpm.feriados),IF($A21="","",_xlpm.dias*Consultores!$C21))</f>
        <v/>
      </c>
      <c r="F21" s="35">
        <f>_xlfn.LET(_xlpm.feriados,IF($B21="CO",FER_CO,FER_EC),_xlpm.dias,NETWORKDAYS(Asignaciones!M$3,Asignaciones!M$4,_xlpm.feriados),IF($A21="","",_xlpm.dias*Consultores!$C21))</f>
        <v/>
      </c>
      <c r="G21" s="35">
        <f>_xlfn.LET(_xlpm.feriados,IF($B21="CO",FER_CO,FER_EC),_xlpm.dias,NETWORKDAYS(Asignaciones!N$3,Asignaciones!N$4,_xlpm.feriados),IF($A21="","",_xlpm.dias*Consultores!$C21))</f>
        <v/>
      </c>
      <c r="H21" s="35">
        <f>_xlfn.LET(_xlpm.feriados,IF($B21="CO",FER_CO,FER_EC),_xlpm.dias,NETWORKDAYS(Asignaciones!O$3,Asignaciones!O$4,_xlpm.feriados),IF($A21="","",_xlpm.dias*Consultores!$C21))</f>
        <v/>
      </c>
      <c r="I21" s="3" t="n"/>
      <c r="J21" s="35">
        <f>IF($A21="","",SUMIFS(Asignaciones!J$6:J$305,Asignaciones!$A$6:$A$305,$A21))</f>
        <v/>
      </c>
      <c r="K21" s="35">
        <f>IF($A21="","",SUMIFS(Asignaciones!K$6:K$305,Asignaciones!$A$6:$A$305,$A21))</f>
        <v/>
      </c>
      <c r="L21" s="35">
        <f>IF($A21="","",SUMIFS(Asignaciones!L$6:L$305,Asignaciones!$A$6:$A$305,$A21))</f>
        <v/>
      </c>
      <c r="M21" s="35">
        <f>IF($A21="","",SUMIFS(Asignaciones!M$6:M$305,Asignaciones!$A$6:$A$305,$A21))</f>
        <v/>
      </c>
      <c r="N21" s="35">
        <f>IF($A21="","",SUMIFS(Asignaciones!N$6:N$305,Asignaciones!$A$6:$A$305,$A21))</f>
        <v/>
      </c>
      <c r="O21" s="35">
        <f>IF($A21="","",SUMIFS(Asignaciones!O$6:O$305,Asignaciones!$A$6:$A$305,$A21))</f>
        <v/>
      </c>
      <c r="P21" s="3" t="n"/>
      <c r="Q21" s="35">
        <f>IF($A21="","",C21-J21)</f>
        <v/>
      </c>
      <c r="R21" s="35">
        <f>IF($A21="","",D21-K21)</f>
        <v/>
      </c>
      <c r="S21" s="35">
        <f>IF($A21="","",E21-L21)</f>
        <v/>
      </c>
      <c r="T21" s="35">
        <f>IF($A21="","",F21-M21)</f>
        <v/>
      </c>
      <c r="U21" s="35">
        <f>IF($A21="","",G21-N21)</f>
        <v/>
      </c>
      <c r="V21" s="35">
        <f>IF($A21="","",H21-O21)</f>
        <v/>
      </c>
    </row>
    <row r="22">
      <c r="A22" s="17">
        <f>IF(Consultores!A22="","",Consultores!A22)</f>
        <v/>
      </c>
      <c r="B22" s="17">
        <f>IF(Consultores!A22="","",Consultores!B22)</f>
        <v/>
      </c>
      <c r="C22" s="35">
        <f>_xlfn.LET(_xlpm.feriados,IF($B22="CO",FER_CO,FER_EC),_xlpm.dias,NETWORKDAYS(Asignaciones!J$3,Asignaciones!J$4,_xlpm.feriados),IF($A22="","",_xlpm.dias*Consultores!$C22))</f>
        <v/>
      </c>
      <c r="D22" s="35">
        <f>_xlfn.LET(_xlpm.feriados,IF($B22="CO",FER_CO,FER_EC),_xlpm.dias,NETWORKDAYS(Asignaciones!K$3,Asignaciones!K$4,_xlpm.feriados),IF($A22="","",_xlpm.dias*Consultores!$C22))</f>
        <v/>
      </c>
      <c r="E22" s="35">
        <f>_xlfn.LET(_xlpm.feriados,IF($B22="CO",FER_CO,FER_EC),_xlpm.dias,NETWORKDAYS(Asignaciones!L$3,Asignaciones!L$4,_xlpm.feriados),IF($A22="","",_xlpm.dias*Consultores!$C22))</f>
        <v/>
      </c>
      <c r="F22" s="35">
        <f>_xlfn.LET(_xlpm.feriados,IF($B22="CO",FER_CO,FER_EC),_xlpm.dias,NETWORKDAYS(Asignaciones!M$3,Asignaciones!M$4,_xlpm.feriados),IF($A22="","",_xlpm.dias*Consultores!$C22))</f>
        <v/>
      </c>
      <c r="G22" s="35">
        <f>_xlfn.LET(_xlpm.feriados,IF($B22="CO",FER_CO,FER_EC),_xlpm.dias,NETWORKDAYS(Asignaciones!N$3,Asignaciones!N$4,_xlpm.feriados),IF($A22="","",_xlpm.dias*Consultores!$C22))</f>
        <v/>
      </c>
      <c r="H22" s="35">
        <f>_xlfn.LET(_xlpm.feriados,IF($B22="CO",FER_CO,FER_EC),_xlpm.dias,NETWORKDAYS(Asignaciones!O$3,Asignaciones!O$4,_xlpm.feriados),IF($A22="","",_xlpm.dias*Consultores!$C22))</f>
        <v/>
      </c>
      <c r="I22" s="3" t="n"/>
      <c r="J22" s="35">
        <f>IF($A22="","",SUMIFS(Asignaciones!J$6:J$305,Asignaciones!$A$6:$A$305,$A22))</f>
        <v/>
      </c>
      <c r="K22" s="35">
        <f>IF($A22="","",SUMIFS(Asignaciones!K$6:K$305,Asignaciones!$A$6:$A$305,$A22))</f>
        <v/>
      </c>
      <c r="L22" s="35">
        <f>IF($A22="","",SUMIFS(Asignaciones!L$6:L$305,Asignaciones!$A$6:$A$305,$A22))</f>
        <v/>
      </c>
      <c r="M22" s="35">
        <f>IF($A22="","",SUMIFS(Asignaciones!M$6:M$305,Asignaciones!$A$6:$A$305,$A22))</f>
        <v/>
      </c>
      <c r="N22" s="35">
        <f>IF($A22="","",SUMIFS(Asignaciones!N$6:N$305,Asignaciones!$A$6:$A$305,$A22))</f>
        <v/>
      </c>
      <c r="O22" s="35">
        <f>IF($A22="","",SUMIFS(Asignaciones!O$6:O$305,Asignaciones!$A$6:$A$305,$A22))</f>
        <v/>
      </c>
      <c r="P22" s="3" t="n"/>
      <c r="Q22" s="35">
        <f>IF($A22="","",C22-J22)</f>
        <v/>
      </c>
      <c r="R22" s="35">
        <f>IF($A22="","",D22-K22)</f>
        <v/>
      </c>
      <c r="S22" s="35">
        <f>IF($A22="","",E22-L22)</f>
        <v/>
      </c>
      <c r="T22" s="35">
        <f>IF($A22="","",F22-M22)</f>
        <v/>
      </c>
      <c r="U22" s="35">
        <f>IF($A22="","",G22-N22)</f>
        <v/>
      </c>
      <c r="V22" s="35">
        <f>IF($A22="","",H22-O22)</f>
        <v/>
      </c>
    </row>
    <row r="23">
      <c r="A23" s="17">
        <f>IF(Consultores!A23="","",Consultores!A23)</f>
        <v/>
      </c>
      <c r="B23" s="17">
        <f>IF(Consultores!A23="","",Consultores!B23)</f>
        <v/>
      </c>
      <c r="C23" s="35">
        <f>_xlfn.LET(_xlpm.feriados,IF($B23="CO",FER_CO,FER_EC),_xlpm.dias,NETWORKDAYS(Asignaciones!J$3,Asignaciones!J$4,_xlpm.feriados),IF($A23="","",_xlpm.dias*Consultores!$C23))</f>
        <v/>
      </c>
      <c r="D23" s="35">
        <f>_xlfn.LET(_xlpm.feriados,IF($B23="CO",FER_CO,FER_EC),_xlpm.dias,NETWORKDAYS(Asignaciones!K$3,Asignaciones!K$4,_xlpm.feriados),IF($A23="","",_xlpm.dias*Consultores!$C23))</f>
        <v/>
      </c>
      <c r="E23" s="35">
        <f>_xlfn.LET(_xlpm.feriados,IF($B23="CO",FER_CO,FER_EC),_xlpm.dias,NETWORKDAYS(Asignaciones!L$3,Asignaciones!L$4,_xlpm.feriados),IF($A23="","",_xlpm.dias*Consultores!$C23))</f>
        <v/>
      </c>
      <c r="F23" s="35">
        <f>_xlfn.LET(_xlpm.feriados,IF($B23="CO",FER_CO,FER_EC),_xlpm.dias,NETWORKDAYS(Asignaciones!M$3,Asignaciones!M$4,_xlpm.feriados),IF($A23="","",_xlpm.dias*Consultores!$C23))</f>
        <v/>
      </c>
      <c r="G23" s="35">
        <f>_xlfn.LET(_xlpm.feriados,IF($B23="CO",FER_CO,FER_EC),_xlpm.dias,NETWORKDAYS(Asignaciones!N$3,Asignaciones!N$4,_xlpm.feriados),IF($A23="","",_xlpm.dias*Consultores!$C23))</f>
        <v/>
      </c>
      <c r="H23" s="35">
        <f>_xlfn.LET(_xlpm.feriados,IF($B23="CO",FER_CO,FER_EC),_xlpm.dias,NETWORKDAYS(Asignaciones!O$3,Asignaciones!O$4,_xlpm.feriados),IF($A23="","",_xlpm.dias*Consultores!$C23))</f>
        <v/>
      </c>
      <c r="I23" s="3" t="n"/>
      <c r="J23" s="35">
        <f>IF($A23="","",SUMIFS(Asignaciones!J$6:J$305,Asignaciones!$A$6:$A$305,$A23))</f>
        <v/>
      </c>
      <c r="K23" s="35">
        <f>IF($A23="","",SUMIFS(Asignaciones!K$6:K$305,Asignaciones!$A$6:$A$305,$A23))</f>
        <v/>
      </c>
      <c r="L23" s="35">
        <f>IF($A23="","",SUMIFS(Asignaciones!L$6:L$305,Asignaciones!$A$6:$A$305,$A23))</f>
        <v/>
      </c>
      <c r="M23" s="35">
        <f>IF($A23="","",SUMIFS(Asignaciones!M$6:M$305,Asignaciones!$A$6:$A$305,$A23))</f>
        <v/>
      </c>
      <c r="N23" s="35">
        <f>IF($A23="","",SUMIFS(Asignaciones!N$6:N$305,Asignaciones!$A$6:$A$305,$A23))</f>
        <v/>
      </c>
      <c r="O23" s="35">
        <f>IF($A23="","",SUMIFS(Asignaciones!O$6:O$305,Asignaciones!$A$6:$A$305,$A23))</f>
        <v/>
      </c>
      <c r="P23" s="3" t="n"/>
      <c r="Q23" s="35">
        <f>IF($A23="","",C23-J23)</f>
        <v/>
      </c>
      <c r="R23" s="35">
        <f>IF($A23="","",D23-K23)</f>
        <v/>
      </c>
      <c r="S23" s="35">
        <f>IF($A23="","",E23-L23)</f>
        <v/>
      </c>
      <c r="T23" s="35">
        <f>IF($A23="","",F23-M23)</f>
        <v/>
      </c>
      <c r="U23" s="35">
        <f>IF($A23="","",G23-N23)</f>
        <v/>
      </c>
      <c r="V23" s="35">
        <f>IF($A23="","",H23-O23)</f>
        <v/>
      </c>
    </row>
    <row r="24">
      <c r="A24" s="17">
        <f>IF(Consultores!A24="","",Consultores!A24)</f>
        <v/>
      </c>
      <c r="B24" s="17">
        <f>IF(Consultores!A24="","",Consultores!B24)</f>
        <v/>
      </c>
      <c r="C24" s="35">
        <f>_xlfn.LET(_xlpm.feriados,IF($B24="CO",FER_CO,FER_EC),_xlpm.dias,NETWORKDAYS(Asignaciones!J$3,Asignaciones!J$4,_xlpm.feriados),IF($A24="","",_xlpm.dias*Consultores!$C24))</f>
        <v/>
      </c>
      <c r="D24" s="35">
        <f>_xlfn.LET(_xlpm.feriados,IF($B24="CO",FER_CO,FER_EC),_xlpm.dias,NETWORKDAYS(Asignaciones!K$3,Asignaciones!K$4,_xlpm.feriados),IF($A24="","",_xlpm.dias*Consultores!$C24))</f>
        <v/>
      </c>
      <c r="E24" s="35">
        <f>_xlfn.LET(_xlpm.feriados,IF($B24="CO",FER_CO,FER_EC),_xlpm.dias,NETWORKDAYS(Asignaciones!L$3,Asignaciones!L$4,_xlpm.feriados),IF($A24="","",_xlpm.dias*Consultores!$C24))</f>
        <v/>
      </c>
      <c r="F24" s="35">
        <f>_xlfn.LET(_xlpm.feriados,IF($B24="CO",FER_CO,FER_EC),_xlpm.dias,NETWORKDAYS(Asignaciones!M$3,Asignaciones!M$4,_xlpm.feriados),IF($A24="","",_xlpm.dias*Consultores!$C24))</f>
        <v/>
      </c>
      <c r="G24" s="35">
        <f>_xlfn.LET(_xlpm.feriados,IF($B24="CO",FER_CO,FER_EC),_xlpm.dias,NETWORKDAYS(Asignaciones!N$3,Asignaciones!N$4,_xlpm.feriados),IF($A24="","",_xlpm.dias*Consultores!$C24))</f>
        <v/>
      </c>
      <c r="H24" s="35">
        <f>_xlfn.LET(_xlpm.feriados,IF($B24="CO",FER_CO,FER_EC),_xlpm.dias,NETWORKDAYS(Asignaciones!O$3,Asignaciones!O$4,_xlpm.feriados),IF($A24="","",_xlpm.dias*Consultores!$C24))</f>
        <v/>
      </c>
      <c r="I24" s="3" t="n"/>
      <c r="J24" s="35">
        <f>IF($A24="","",SUMIFS(Asignaciones!J$6:J$305,Asignaciones!$A$6:$A$305,$A24))</f>
        <v/>
      </c>
      <c r="K24" s="35">
        <f>IF($A24="","",SUMIFS(Asignaciones!K$6:K$305,Asignaciones!$A$6:$A$305,$A24))</f>
        <v/>
      </c>
      <c r="L24" s="35">
        <f>IF($A24="","",SUMIFS(Asignaciones!L$6:L$305,Asignaciones!$A$6:$A$305,$A24))</f>
        <v/>
      </c>
      <c r="M24" s="35">
        <f>IF($A24="","",SUMIFS(Asignaciones!M$6:M$305,Asignaciones!$A$6:$A$305,$A24))</f>
        <v/>
      </c>
      <c r="N24" s="35">
        <f>IF($A24="","",SUMIFS(Asignaciones!N$6:N$305,Asignaciones!$A$6:$A$305,$A24))</f>
        <v/>
      </c>
      <c r="O24" s="35">
        <f>IF($A24="","",SUMIFS(Asignaciones!O$6:O$305,Asignaciones!$A$6:$A$305,$A24))</f>
        <v/>
      </c>
      <c r="P24" s="3" t="n"/>
      <c r="Q24" s="35">
        <f>IF($A24="","",C24-J24)</f>
        <v/>
      </c>
      <c r="R24" s="35">
        <f>IF($A24="","",D24-K24)</f>
        <v/>
      </c>
      <c r="S24" s="35">
        <f>IF($A24="","",E24-L24)</f>
        <v/>
      </c>
      <c r="T24" s="35">
        <f>IF($A24="","",F24-M24)</f>
        <v/>
      </c>
      <c r="U24" s="35">
        <f>IF($A24="","",G24-N24)</f>
        <v/>
      </c>
      <c r="V24" s="35">
        <f>IF($A24="","",H24-O24)</f>
        <v/>
      </c>
    </row>
    <row r="25">
      <c r="A25" s="17">
        <f>IF(Consultores!A25="","",Consultores!A25)</f>
        <v/>
      </c>
      <c r="B25" s="17">
        <f>IF(Consultores!A25="","",Consultores!B25)</f>
        <v/>
      </c>
      <c r="C25" s="35">
        <f>_xlfn.LET(_xlpm.feriados,IF($B25="CO",FER_CO,FER_EC),_xlpm.dias,NETWORKDAYS(Asignaciones!J$3,Asignaciones!J$4,_xlpm.feriados),IF($A25="","",_xlpm.dias*Consultores!$C25))</f>
        <v/>
      </c>
      <c r="D25" s="35">
        <f>_xlfn.LET(_xlpm.feriados,IF($B25="CO",FER_CO,FER_EC),_xlpm.dias,NETWORKDAYS(Asignaciones!K$3,Asignaciones!K$4,_xlpm.feriados),IF($A25="","",_xlpm.dias*Consultores!$C25))</f>
        <v/>
      </c>
      <c r="E25" s="35">
        <f>_xlfn.LET(_xlpm.feriados,IF($B25="CO",FER_CO,FER_EC),_xlpm.dias,NETWORKDAYS(Asignaciones!L$3,Asignaciones!L$4,_xlpm.feriados),IF($A25="","",_xlpm.dias*Consultores!$C25))</f>
        <v/>
      </c>
      <c r="F25" s="35">
        <f>_xlfn.LET(_xlpm.feriados,IF($B25="CO",FER_CO,FER_EC),_xlpm.dias,NETWORKDAYS(Asignaciones!M$3,Asignaciones!M$4,_xlpm.feriados),IF($A25="","",_xlpm.dias*Consultores!$C25))</f>
        <v/>
      </c>
      <c r="G25" s="35">
        <f>_xlfn.LET(_xlpm.feriados,IF($B25="CO",FER_CO,FER_EC),_xlpm.dias,NETWORKDAYS(Asignaciones!N$3,Asignaciones!N$4,_xlpm.feriados),IF($A25="","",_xlpm.dias*Consultores!$C25))</f>
        <v/>
      </c>
      <c r="H25" s="35">
        <f>_xlfn.LET(_xlpm.feriados,IF($B25="CO",FER_CO,FER_EC),_xlpm.dias,NETWORKDAYS(Asignaciones!O$3,Asignaciones!O$4,_xlpm.feriados),IF($A25="","",_xlpm.dias*Consultores!$C25))</f>
        <v/>
      </c>
      <c r="I25" s="3" t="n"/>
      <c r="J25" s="35">
        <f>IF($A25="","",SUMIFS(Asignaciones!J$6:J$305,Asignaciones!$A$6:$A$305,$A25))</f>
        <v/>
      </c>
      <c r="K25" s="35">
        <f>IF($A25="","",SUMIFS(Asignaciones!K$6:K$305,Asignaciones!$A$6:$A$305,$A25))</f>
        <v/>
      </c>
      <c r="L25" s="35">
        <f>IF($A25="","",SUMIFS(Asignaciones!L$6:L$305,Asignaciones!$A$6:$A$305,$A25))</f>
        <v/>
      </c>
      <c r="M25" s="35">
        <f>IF($A25="","",SUMIFS(Asignaciones!M$6:M$305,Asignaciones!$A$6:$A$305,$A25))</f>
        <v/>
      </c>
      <c r="N25" s="35">
        <f>IF($A25="","",SUMIFS(Asignaciones!N$6:N$305,Asignaciones!$A$6:$A$305,$A25))</f>
        <v/>
      </c>
      <c r="O25" s="35">
        <f>IF($A25="","",SUMIFS(Asignaciones!O$6:O$305,Asignaciones!$A$6:$A$305,$A25))</f>
        <v/>
      </c>
      <c r="P25" s="3" t="n"/>
      <c r="Q25" s="35">
        <f>IF($A25="","",C25-J25)</f>
        <v/>
      </c>
      <c r="R25" s="35">
        <f>IF($A25="","",D25-K25)</f>
        <v/>
      </c>
      <c r="S25" s="35">
        <f>IF($A25="","",E25-L25)</f>
        <v/>
      </c>
      <c r="T25" s="35">
        <f>IF($A25="","",F25-M25)</f>
        <v/>
      </c>
      <c r="U25" s="35">
        <f>IF($A25="","",G25-N25)</f>
        <v/>
      </c>
      <c r="V25" s="35">
        <f>IF($A25="","",H25-O25)</f>
        <v/>
      </c>
    </row>
    <row r="26">
      <c r="A26" s="17">
        <f>IF(Consultores!A26="","",Consultores!A26)</f>
        <v/>
      </c>
      <c r="B26" s="17">
        <f>IF(Consultores!A26="","",Consultores!B26)</f>
        <v/>
      </c>
      <c r="C26" s="35">
        <f>_xlfn.LET(_xlpm.feriados,IF($B26="CO",FER_CO,FER_EC),_xlpm.dias,NETWORKDAYS(Asignaciones!J$3,Asignaciones!J$4,_xlpm.feriados),IF($A26="","",_xlpm.dias*Consultores!$C26))</f>
        <v/>
      </c>
      <c r="D26" s="35">
        <f>_xlfn.LET(_xlpm.feriados,IF($B26="CO",FER_CO,FER_EC),_xlpm.dias,NETWORKDAYS(Asignaciones!K$3,Asignaciones!K$4,_xlpm.feriados),IF($A26="","",_xlpm.dias*Consultores!$C26))</f>
        <v/>
      </c>
      <c r="E26" s="35">
        <f>_xlfn.LET(_xlpm.feriados,IF($B26="CO",FER_CO,FER_EC),_xlpm.dias,NETWORKDAYS(Asignaciones!L$3,Asignaciones!L$4,_xlpm.feriados),IF($A26="","",_xlpm.dias*Consultores!$C26))</f>
        <v/>
      </c>
      <c r="F26" s="35">
        <f>_xlfn.LET(_xlpm.feriados,IF($B26="CO",FER_CO,FER_EC),_xlpm.dias,NETWORKDAYS(Asignaciones!M$3,Asignaciones!M$4,_xlpm.feriados),IF($A26="","",_xlpm.dias*Consultores!$C26))</f>
        <v/>
      </c>
      <c r="G26" s="35">
        <f>_xlfn.LET(_xlpm.feriados,IF($B26="CO",FER_CO,FER_EC),_xlpm.dias,NETWORKDAYS(Asignaciones!N$3,Asignaciones!N$4,_xlpm.feriados),IF($A26="","",_xlpm.dias*Consultores!$C26))</f>
        <v/>
      </c>
      <c r="H26" s="35">
        <f>_xlfn.LET(_xlpm.feriados,IF($B26="CO",FER_CO,FER_EC),_xlpm.dias,NETWORKDAYS(Asignaciones!O$3,Asignaciones!O$4,_xlpm.feriados),IF($A26="","",_xlpm.dias*Consultores!$C26))</f>
        <v/>
      </c>
      <c r="I26" s="3" t="n"/>
      <c r="J26" s="35">
        <f>IF($A26="","",SUMIFS(Asignaciones!J$6:J$305,Asignaciones!$A$6:$A$305,$A26))</f>
        <v/>
      </c>
      <c r="K26" s="35">
        <f>IF($A26="","",SUMIFS(Asignaciones!K$6:K$305,Asignaciones!$A$6:$A$305,$A26))</f>
        <v/>
      </c>
      <c r="L26" s="35">
        <f>IF($A26="","",SUMIFS(Asignaciones!L$6:L$305,Asignaciones!$A$6:$A$305,$A26))</f>
        <v/>
      </c>
      <c r="M26" s="35">
        <f>IF($A26="","",SUMIFS(Asignaciones!M$6:M$305,Asignaciones!$A$6:$A$305,$A26))</f>
        <v/>
      </c>
      <c r="N26" s="35">
        <f>IF($A26="","",SUMIFS(Asignaciones!N$6:N$305,Asignaciones!$A$6:$A$305,$A26))</f>
        <v/>
      </c>
      <c r="O26" s="35">
        <f>IF($A26="","",SUMIFS(Asignaciones!O$6:O$305,Asignaciones!$A$6:$A$305,$A26))</f>
        <v/>
      </c>
      <c r="P26" s="3" t="n"/>
      <c r="Q26" s="35">
        <f>IF($A26="","",C26-J26)</f>
        <v/>
      </c>
      <c r="R26" s="35">
        <f>IF($A26="","",D26-K26)</f>
        <v/>
      </c>
      <c r="S26" s="35">
        <f>IF($A26="","",E26-L26)</f>
        <v/>
      </c>
      <c r="T26" s="35">
        <f>IF($A26="","",F26-M26)</f>
        <v/>
      </c>
      <c r="U26" s="35">
        <f>IF($A26="","",G26-N26)</f>
        <v/>
      </c>
      <c r="V26" s="35">
        <f>IF($A26="","",H26-O26)</f>
        <v/>
      </c>
    </row>
    <row r="27">
      <c r="A27" s="17">
        <f>IF(Consultores!A27="","",Consultores!A27)</f>
        <v/>
      </c>
      <c r="B27" s="17">
        <f>IF(Consultores!A27="","",Consultores!B27)</f>
        <v/>
      </c>
      <c r="C27" s="35">
        <f>_xlfn.LET(_xlpm.feriados,IF($B27="CO",FER_CO,FER_EC),_xlpm.dias,NETWORKDAYS(Asignaciones!J$3,Asignaciones!J$4,_xlpm.feriados),IF($A27="","",_xlpm.dias*Consultores!$C27))</f>
        <v/>
      </c>
      <c r="D27" s="35">
        <f>_xlfn.LET(_xlpm.feriados,IF($B27="CO",FER_CO,FER_EC),_xlpm.dias,NETWORKDAYS(Asignaciones!K$3,Asignaciones!K$4,_xlpm.feriados),IF($A27="","",_xlpm.dias*Consultores!$C27))</f>
        <v/>
      </c>
      <c r="E27" s="35">
        <f>_xlfn.LET(_xlpm.feriados,IF($B27="CO",FER_CO,FER_EC),_xlpm.dias,NETWORKDAYS(Asignaciones!L$3,Asignaciones!L$4,_xlpm.feriados),IF($A27="","",_xlpm.dias*Consultores!$C27))</f>
        <v/>
      </c>
      <c r="F27" s="35">
        <f>_xlfn.LET(_xlpm.feriados,IF($B27="CO",FER_CO,FER_EC),_xlpm.dias,NETWORKDAYS(Asignaciones!M$3,Asignaciones!M$4,_xlpm.feriados),IF($A27="","",_xlpm.dias*Consultores!$C27))</f>
        <v/>
      </c>
      <c r="G27" s="35">
        <f>_xlfn.LET(_xlpm.feriados,IF($B27="CO",FER_CO,FER_EC),_xlpm.dias,NETWORKDAYS(Asignaciones!N$3,Asignaciones!N$4,_xlpm.feriados),IF($A27="","",_xlpm.dias*Consultores!$C27))</f>
        <v/>
      </c>
      <c r="H27" s="35">
        <f>_xlfn.LET(_xlpm.feriados,IF($B27="CO",FER_CO,FER_EC),_xlpm.dias,NETWORKDAYS(Asignaciones!O$3,Asignaciones!O$4,_xlpm.feriados),IF($A27="","",_xlpm.dias*Consultores!$C27))</f>
        <v/>
      </c>
      <c r="I27" s="3" t="n"/>
      <c r="J27" s="35">
        <f>IF($A27="","",SUMIFS(Asignaciones!J$6:J$305,Asignaciones!$A$6:$A$305,$A27))</f>
        <v/>
      </c>
      <c r="K27" s="35">
        <f>IF($A27="","",SUMIFS(Asignaciones!K$6:K$305,Asignaciones!$A$6:$A$305,$A27))</f>
        <v/>
      </c>
      <c r="L27" s="35">
        <f>IF($A27="","",SUMIFS(Asignaciones!L$6:L$305,Asignaciones!$A$6:$A$305,$A27))</f>
        <v/>
      </c>
      <c r="M27" s="35">
        <f>IF($A27="","",SUMIFS(Asignaciones!M$6:M$305,Asignaciones!$A$6:$A$305,$A27))</f>
        <v/>
      </c>
      <c r="N27" s="35">
        <f>IF($A27="","",SUMIFS(Asignaciones!N$6:N$305,Asignaciones!$A$6:$A$305,$A27))</f>
        <v/>
      </c>
      <c r="O27" s="35">
        <f>IF($A27="","",SUMIFS(Asignaciones!O$6:O$305,Asignaciones!$A$6:$A$305,$A27))</f>
        <v/>
      </c>
      <c r="P27" s="3" t="n"/>
      <c r="Q27" s="35">
        <f>IF($A27="","",C27-J27)</f>
        <v/>
      </c>
      <c r="R27" s="35">
        <f>IF($A27="","",D27-K27)</f>
        <v/>
      </c>
      <c r="S27" s="35">
        <f>IF($A27="","",E27-L27)</f>
        <v/>
      </c>
      <c r="T27" s="35">
        <f>IF($A27="","",F27-M27)</f>
        <v/>
      </c>
      <c r="U27" s="35">
        <f>IF($A27="","",G27-N27)</f>
        <v/>
      </c>
      <c r="V27" s="35">
        <f>IF($A27="","",H27-O27)</f>
        <v/>
      </c>
    </row>
    <row r="28">
      <c r="A28" s="17">
        <f>IF(Consultores!A28="","",Consultores!A28)</f>
        <v/>
      </c>
      <c r="B28" s="17">
        <f>IF(Consultores!A28="","",Consultores!B28)</f>
        <v/>
      </c>
      <c r="C28" s="35">
        <f>_xlfn.LET(_xlpm.feriados,IF($B28="CO",FER_CO,FER_EC),_xlpm.dias,NETWORKDAYS(Asignaciones!J$3,Asignaciones!J$4,_xlpm.feriados),IF($A28="","",_xlpm.dias*Consultores!$C28))</f>
        <v/>
      </c>
      <c r="D28" s="35">
        <f>_xlfn.LET(_xlpm.feriados,IF($B28="CO",FER_CO,FER_EC),_xlpm.dias,NETWORKDAYS(Asignaciones!K$3,Asignaciones!K$4,_xlpm.feriados),IF($A28="","",_xlpm.dias*Consultores!$C28))</f>
        <v/>
      </c>
      <c r="E28" s="35">
        <f>_xlfn.LET(_xlpm.feriados,IF($B28="CO",FER_CO,FER_EC),_xlpm.dias,NETWORKDAYS(Asignaciones!L$3,Asignaciones!L$4,_xlpm.feriados),IF($A28="","",_xlpm.dias*Consultores!$C28))</f>
        <v/>
      </c>
      <c r="F28" s="35">
        <f>_xlfn.LET(_xlpm.feriados,IF($B28="CO",FER_CO,FER_EC),_xlpm.dias,NETWORKDAYS(Asignaciones!M$3,Asignaciones!M$4,_xlpm.feriados),IF($A28="","",_xlpm.dias*Consultores!$C28))</f>
        <v/>
      </c>
      <c r="G28" s="35">
        <f>_xlfn.LET(_xlpm.feriados,IF($B28="CO",FER_CO,FER_EC),_xlpm.dias,NETWORKDAYS(Asignaciones!N$3,Asignaciones!N$4,_xlpm.feriados),IF($A28="","",_xlpm.dias*Consultores!$C28))</f>
        <v/>
      </c>
      <c r="H28" s="35">
        <f>_xlfn.LET(_xlpm.feriados,IF($B28="CO",FER_CO,FER_EC),_xlpm.dias,NETWORKDAYS(Asignaciones!O$3,Asignaciones!O$4,_xlpm.feriados),IF($A28="","",_xlpm.dias*Consultores!$C28))</f>
        <v/>
      </c>
      <c r="I28" s="3" t="n"/>
      <c r="J28" s="35">
        <f>IF($A28="","",SUMIFS(Asignaciones!J$6:J$305,Asignaciones!$A$6:$A$305,$A28))</f>
        <v/>
      </c>
      <c r="K28" s="35">
        <f>IF($A28="","",SUMIFS(Asignaciones!K$6:K$305,Asignaciones!$A$6:$A$305,$A28))</f>
        <v/>
      </c>
      <c r="L28" s="35">
        <f>IF($A28="","",SUMIFS(Asignaciones!L$6:L$305,Asignaciones!$A$6:$A$305,$A28))</f>
        <v/>
      </c>
      <c r="M28" s="35">
        <f>IF($A28="","",SUMIFS(Asignaciones!M$6:M$305,Asignaciones!$A$6:$A$305,$A28))</f>
        <v/>
      </c>
      <c r="N28" s="35">
        <f>IF($A28="","",SUMIFS(Asignaciones!N$6:N$305,Asignaciones!$A$6:$A$305,$A28))</f>
        <v/>
      </c>
      <c r="O28" s="35">
        <f>IF($A28="","",SUMIFS(Asignaciones!O$6:O$305,Asignaciones!$A$6:$A$305,$A28))</f>
        <v/>
      </c>
      <c r="P28" s="3" t="n"/>
      <c r="Q28" s="35">
        <f>IF($A28="","",C28-J28)</f>
        <v/>
      </c>
      <c r="R28" s="35">
        <f>IF($A28="","",D28-K28)</f>
        <v/>
      </c>
      <c r="S28" s="35">
        <f>IF($A28="","",E28-L28)</f>
        <v/>
      </c>
      <c r="T28" s="35">
        <f>IF($A28="","",F28-M28)</f>
        <v/>
      </c>
      <c r="U28" s="35">
        <f>IF($A28="","",G28-N28)</f>
        <v/>
      </c>
      <c r="V28" s="35">
        <f>IF($A28="","",H28-O28)</f>
        <v/>
      </c>
    </row>
    <row r="29">
      <c r="A29" s="17">
        <f>IF(Consultores!A29="","",Consultores!A29)</f>
        <v/>
      </c>
      <c r="B29" s="17">
        <f>IF(Consultores!A29="","",Consultores!B29)</f>
        <v/>
      </c>
      <c r="C29" s="35">
        <f>_xlfn.LET(_xlpm.feriados,IF($B29="CO",FER_CO,FER_EC),_xlpm.dias,NETWORKDAYS(Asignaciones!J$3,Asignaciones!J$4,_xlpm.feriados),IF($A29="","",_xlpm.dias*Consultores!$C29))</f>
        <v/>
      </c>
      <c r="D29" s="35">
        <f>_xlfn.LET(_xlpm.feriados,IF($B29="CO",FER_CO,FER_EC),_xlpm.dias,NETWORKDAYS(Asignaciones!K$3,Asignaciones!K$4,_xlpm.feriados),IF($A29="","",_xlpm.dias*Consultores!$C29))</f>
        <v/>
      </c>
      <c r="E29" s="35">
        <f>_xlfn.LET(_xlpm.feriados,IF($B29="CO",FER_CO,FER_EC),_xlpm.dias,NETWORKDAYS(Asignaciones!L$3,Asignaciones!L$4,_xlpm.feriados),IF($A29="","",_xlpm.dias*Consultores!$C29))</f>
        <v/>
      </c>
      <c r="F29" s="35">
        <f>_xlfn.LET(_xlpm.feriados,IF($B29="CO",FER_CO,FER_EC),_xlpm.dias,NETWORKDAYS(Asignaciones!M$3,Asignaciones!M$4,_xlpm.feriados),IF($A29="","",_xlpm.dias*Consultores!$C29))</f>
        <v/>
      </c>
      <c r="G29" s="35">
        <f>_xlfn.LET(_xlpm.feriados,IF($B29="CO",FER_CO,FER_EC),_xlpm.dias,NETWORKDAYS(Asignaciones!N$3,Asignaciones!N$4,_xlpm.feriados),IF($A29="","",_xlpm.dias*Consultores!$C29))</f>
        <v/>
      </c>
      <c r="H29" s="35">
        <f>_xlfn.LET(_xlpm.feriados,IF($B29="CO",FER_CO,FER_EC),_xlpm.dias,NETWORKDAYS(Asignaciones!O$3,Asignaciones!O$4,_xlpm.feriados),IF($A29="","",_xlpm.dias*Consultores!$C29))</f>
        <v/>
      </c>
      <c r="I29" s="3" t="n"/>
      <c r="J29" s="35">
        <f>IF($A29="","",SUMIFS(Asignaciones!J$6:J$305,Asignaciones!$A$6:$A$305,$A29))</f>
        <v/>
      </c>
      <c r="K29" s="35">
        <f>IF($A29="","",SUMIFS(Asignaciones!K$6:K$305,Asignaciones!$A$6:$A$305,$A29))</f>
        <v/>
      </c>
      <c r="L29" s="35">
        <f>IF($A29="","",SUMIFS(Asignaciones!L$6:L$305,Asignaciones!$A$6:$A$305,$A29))</f>
        <v/>
      </c>
      <c r="M29" s="35">
        <f>IF($A29="","",SUMIFS(Asignaciones!M$6:M$305,Asignaciones!$A$6:$A$305,$A29))</f>
        <v/>
      </c>
      <c r="N29" s="35">
        <f>IF($A29="","",SUMIFS(Asignaciones!N$6:N$305,Asignaciones!$A$6:$A$305,$A29))</f>
        <v/>
      </c>
      <c r="O29" s="35">
        <f>IF($A29="","",SUMIFS(Asignaciones!O$6:O$305,Asignaciones!$A$6:$A$305,$A29))</f>
        <v/>
      </c>
      <c r="P29" s="3" t="n"/>
      <c r="Q29" s="35">
        <f>IF($A29="","",C29-J29)</f>
        <v/>
      </c>
      <c r="R29" s="35">
        <f>IF($A29="","",D29-K29)</f>
        <v/>
      </c>
      <c r="S29" s="35">
        <f>IF($A29="","",E29-L29)</f>
        <v/>
      </c>
      <c r="T29" s="35">
        <f>IF($A29="","",F29-M29)</f>
        <v/>
      </c>
      <c r="U29" s="35">
        <f>IF($A29="","",G29-N29)</f>
        <v/>
      </c>
      <c r="V29" s="35">
        <f>IF($A29="","",H29-O29)</f>
        <v/>
      </c>
    </row>
    <row r="30">
      <c r="A30" s="17">
        <f>IF(Consultores!A30="","",Consultores!A30)</f>
        <v/>
      </c>
      <c r="B30" s="17">
        <f>IF(Consultores!A30="","",Consultores!B30)</f>
        <v/>
      </c>
      <c r="C30" s="35">
        <f>_xlfn.LET(_xlpm.feriados,IF($B30="CO",FER_CO,FER_EC),_xlpm.dias,NETWORKDAYS(Asignaciones!J$3,Asignaciones!J$4,_xlpm.feriados),IF($A30="","",_xlpm.dias*Consultores!$C30))</f>
        <v/>
      </c>
      <c r="D30" s="35">
        <f>_xlfn.LET(_xlpm.feriados,IF($B30="CO",FER_CO,FER_EC),_xlpm.dias,NETWORKDAYS(Asignaciones!K$3,Asignaciones!K$4,_xlpm.feriados),IF($A30="","",_xlpm.dias*Consultores!$C30))</f>
        <v/>
      </c>
      <c r="E30" s="35">
        <f>_xlfn.LET(_xlpm.feriados,IF($B30="CO",FER_CO,FER_EC),_xlpm.dias,NETWORKDAYS(Asignaciones!L$3,Asignaciones!L$4,_xlpm.feriados),IF($A30="","",_xlpm.dias*Consultores!$C30))</f>
        <v/>
      </c>
      <c r="F30" s="35">
        <f>_xlfn.LET(_xlpm.feriados,IF($B30="CO",FER_CO,FER_EC),_xlpm.dias,NETWORKDAYS(Asignaciones!M$3,Asignaciones!M$4,_xlpm.feriados),IF($A30="","",_xlpm.dias*Consultores!$C30))</f>
        <v/>
      </c>
      <c r="G30" s="35">
        <f>_xlfn.LET(_xlpm.feriados,IF($B30="CO",FER_CO,FER_EC),_xlpm.dias,NETWORKDAYS(Asignaciones!N$3,Asignaciones!N$4,_xlpm.feriados),IF($A30="","",_xlpm.dias*Consultores!$C30))</f>
        <v/>
      </c>
      <c r="H30" s="35">
        <f>_xlfn.LET(_xlpm.feriados,IF($B30="CO",FER_CO,FER_EC),_xlpm.dias,NETWORKDAYS(Asignaciones!O$3,Asignaciones!O$4,_xlpm.feriados),IF($A30="","",_xlpm.dias*Consultores!$C30))</f>
        <v/>
      </c>
      <c r="I30" s="3" t="n"/>
      <c r="J30" s="35">
        <f>IF($A30="","",SUMIFS(Asignaciones!J$6:J$305,Asignaciones!$A$6:$A$305,$A30))</f>
        <v/>
      </c>
      <c r="K30" s="35">
        <f>IF($A30="","",SUMIFS(Asignaciones!K$6:K$305,Asignaciones!$A$6:$A$305,$A30))</f>
        <v/>
      </c>
      <c r="L30" s="35">
        <f>IF($A30="","",SUMIFS(Asignaciones!L$6:L$305,Asignaciones!$A$6:$A$305,$A30))</f>
        <v/>
      </c>
      <c r="M30" s="35">
        <f>IF($A30="","",SUMIFS(Asignaciones!M$6:M$305,Asignaciones!$A$6:$A$305,$A30))</f>
        <v/>
      </c>
      <c r="N30" s="35">
        <f>IF($A30="","",SUMIFS(Asignaciones!N$6:N$305,Asignaciones!$A$6:$A$305,$A30))</f>
        <v/>
      </c>
      <c r="O30" s="35">
        <f>IF($A30="","",SUMIFS(Asignaciones!O$6:O$305,Asignaciones!$A$6:$A$305,$A30))</f>
        <v/>
      </c>
      <c r="P30" s="3" t="n"/>
      <c r="Q30" s="35">
        <f>IF($A30="","",C30-J30)</f>
        <v/>
      </c>
      <c r="R30" s="35">
        <f>IF($A30="","",D30-K30)</f>
        <v/>
      </c>
      <c r="S30" s="35">
        <f>IF($A30="","",E30-L30)</f>
        <v/>
      </c>
      <c r="T30" s="35">
        <f>IF($A30="","",F30-M30)</f>
        <v/>
      </c>
      <c r="U30" s="35">
        <f>IF($A30="","",G30-N30)</f>
        <v/>
      </c>
      <c r="V30" s="35">
        <f>IF($A30="","",H30-O30)</f>
        <v/>
      </c>
    </row>
    <row r="31">
      <c r="A31" s="17">
        <f>IF(Consultores!A31="","",Consultores!A31)</f>
        <v/>
      </c>
      <c r="B31" s="17">
        <f>IF(Consultores!A31="","",Consultores!B31)</f>
        <v/>
      </c>
      <c r="C31" s="35">
        <f>_xlfn.LET(_xlpm.feriados,IF($B31="CO",FER_CO,FER_EC),_xlpm.dias,NETWORKDAYS(Asignaciones!J$3,Asignaciones!J$4,_xlpm.feriados),IF($A31="","",_xlpm.dias*Consultores!$C31))</f>
        <v/>
      </c>
      <c r="D31" s="35">
        <f>_xlfn.LET(_xlpm.feriados,IF($B31="CO",FER_CO,FER_EC),_xlpm.dias,NETWORKDAYS(Asignaciones!K$3,Asignaciones!K$4,_xlpm.feriados),IF($A31="","",_xlpm.dias*Consultores!$C31))</f>
        <v/>
      </c>
      <c r="E31" s="35">
        <f>_xlfn.LET(_xlpm.feriados,IF($B31="CO",FER_CO,FER_EC),_xlpm.dias,NETWORKDAYS(Asignaciones!L$3,Asignaciones!L$4,_xlpm.feriados),IF($A31="","",_xlpm.dias*Consultores!$C31))</f>
        <v/>
      </c>
      <c r="F31" s="35">
        <f>_xlfn.LET(_xlpm.feriados,IF($B31="CO",FER_CO,FER_EC),_xlpm.dias,NETWORKDAYS(Asignaciones!M$3,Asignaciones!M$4,_xlpm.feriados),IF($A31="","",_xlpm.dias*Consultores!$C31))</f>
        <v/>
      </c>
      <c r="G31" s="35">
        <f>_xlfn.LET(_xlpm.feriados,IF($B31="CO",FER_CO,FER_EC),_xlpm.dias,NETWORKDAYS(Asignaciones!N$3,Asignaciones!N$4,_xlpm.feriados),IF($A31="","",_xlpm.dias*Consultores!$C31))</f>
        <v/>
      </c>
      <c r="H31" s="35">
        <f>_xlfn.LET(_xlpm.feriados,IF($B31="CO",FER_CO,FER_EC),_xlpm.dias,NETWORKDAYS(Asignaciones!O$3,Asignaciones!O$4,_xlpm.feriados),IF($A31="","",_xlpm.dias*Consultores!$C31))</f>
        <v/>
      </c>
      <c r="I31" s="3" t="n"/>
      <c r="J31" s="35">
        <f>IF($A31="","",SUMIFS(Asignaciones!J$6:J$305,Asignaciones!$A$6:$A$305,$A31))</f>
        <v/>
      </c>
      <c r="K31" s="35">
        <f>IF($A31="","",SUMIFS(Asignaciones!K$6:K$305,Asignaciones!$A$6:$A$305,$A31))</f>
        <v/>
      </c>
      <c r="L31" s="35">
        <f>IF($A31="","",SUMIFS(Asignaciones!L$6:L$305,Asignaciones!$A$6:$A$305,$A31))</f>
        <v/>
      </c>
      <c r="M31" s="35">
        <f>IF($A31="","",SUMIFS(Asignaciones!M$6:M$305,Asignaciones!$A$6:$A$305,$A31))</f>
        <v/>
      </c>
      <c r="N31" s="35">
        <f>IF($A31="","",SUMIFS(Asignaciones!N$6:N$305,Asignaciones!$A$6:$A$305,$A31))</f>
        <v/>
      </c>
      <c r="O31" s="35">
        <f>IF($A31="","",SUMIFS(Asignaciones!O$6:O$305,Asignaciones!$A$6:$A$305,$A31))</f>
        <v/>
      </c>
      <c r="P31" s="3" t="n"/>
      <c r="Q31" s="35">
        <f>IF($A31="","",C31-J31)</f>
        <v/>
      </c>
      <c r="R31" s="35">
        <f>IF($A31="","",D31-K31)</f>
        <v/>
      </c>
      <c r="S31" s="35">
        <f>IF($A31="","",E31-L31)</f>
        <v/>
      </c>
      <c r="T31" s="35">
        <f>IF($A31="","",F31-M31)</f>
        <v/>
      </c>
      <c r="U31" s="35">
        <f>IF($A31="","",G31-N31)</f>
        <v/>
      </c>
      <c r="V31" s="35">
        <f>IF($A31="","",H31-O31)</f>
        <v/>
      </c>
    </row>
    <row r="32">
      <c r="A32" s="17">
        <f>IF(Consultores!A32="","",Consultores!A32)</f>
        <v/>
      </c>
      <c r="B32" s="17">
        <f>IF(Consultores!A32="","",Consultores!B32)</f>
        <v/>
      </c>
      <c r="C32" s="35">
        <f>_xlfn.LET(_xlpm.feriados,IF($B32="CO",FER_CO,FER_EC),_xlpm.dias,NETWORKDAYS(Asignaciones!J$3,Asignaciones!J$4,_xlpm.feriados),IF($A32="","",_xlpm.dias*Consultores!$C32))</f>
        <v/>
      </c>
      <c r="D32" s="35">
        <f>_xlfn.LET(_xlpm.feriados,IF($B32="CO",FER_CO,FER_EC),_xlpm.dias,NETWORKDAYS(Asignaciones!K$3,Asignaciones!K$4,_xlpm.feriados),IF($A32="","",_xlpm.dias*Consultores!$C32))</f>
        <v/>
      </c>
      <c r="E32" s="35">
        <f>_xlfn.LET(_xlpm.feriados,IF($B32="CO",FER_CO,FER_EC),_xlpm.dias,NETWORKDAYS(Asignaciones!L$3,Asignaciones!L$4,_xlpm.feriados),IF($A32="","",_xlpm.dias*Consultores!$C32))</f>
        <v/>
      </c>
      <c r="F32" s="35">
        <f>_xlfn.LET(_xlpm.feriados,IF($B32="CO",FER_CO,FER_EC),_xlpm.dias,NETWORKDAYS(Asignaciones!M$3,Asignaciones!M$4,_xlpm.feriados),IF($A32="","",_xlpm.dias*Consultores!$C32))</f>
        <v/>
      </c>
      <c r="G32" s="35">
        <f>_xlfn.LET(_xlpm.feriados,IF($B32="CO",FER_CO,FER_EC),_xlpm.dias,NETWORKDAYS(Asignaciones!N$3,Asignaciones!N$4,_xlpm.feriados),IF($A32="","",_xlpm.dias*Consultores!$C32))</f>
        <v/>
      </c>
      <c r="H32" s="35">
        <f>_xlfn.LET(_xlpm.feriados,IF($B32="CO",FER_CO,FER_EC),_xlpm.dias,NETWORKDAYS(Asignaciones!O$3,Asignaciones!O$4,_xlpm.feriados),IF($A32="","",_xlpm.dias*Consultores!$C32))</f>
        <v/>
      </c>
      <c r="I32" s="3" t="n"/>
      <c r="J32" s="35">
        <f>IF($A32="","",SUMIFS(Asignaciones!J$6:J$305,Asignaciones!$A$6:$A$305,$A32))</f>
        <v/>
      </c>
      <c r="K32" s="35">
        <f>IF($A32="","",SUMIFS(Asignaciones!K$6:K$305,Asignaciones!$A$6:$A$305,$A32))</f>
        <v/>
      </c>
      <c r="L32" s="35">
        <f>IF($A32="","",SUMIFS(Asignaciones!L$6:L$305,Asignaciones!$A$6:$A$305,$A32))</f>
        <v/>
      </c>
      <c r="M32" s="35">
        <f>IF($A32="","",SUMIFS(Asignaciones!M$6:M$305,Asignaciones!$A$6:$A$305,$A32))</f>
        <v/>
      </c>
      <c r="N32" s="35">
        <f>IF($A32="","",SUMIFS(Asignaciones!N$6:N$305,Asignaciones!$A$6:$A$305,$A32))</f>
        <v/>
      </c>
      <c r="O32" s="35">
        <f>IF($A32="","",SUMIFS(Asignaciones!O$6:O$305,Asignaciones!$A$6:$A$305,$A32))</f>
        <v/>
      </c>
      <c r="P32" s="3" t="n"/>
      <c r="Q32" s="35">
        <f>IF($A32="","",C32-J32)</f>
        <v/>
      </c>
      <c r="R32" s="35">
        <f>IF($A32="","",D32-K32)</f>
        <v/>
      </c>
      <c r="S32" s="35">
        <f>IF($A32="","",E32-L32)</f>
        <v/>
      </c>
      <c r="T32" s="35">
        <f>IF($A32="","",F32-M32)</f>
        <v/>
      </c>
      <c r="U32" s="35">
        <f>IF($A32="","",G32-N32)</f>
        <v/>
      </c>
      <c r="V32" s="35">
        <f>IF($A32="","",H32-O32)</f>
        <v/>
      </c>
    </row>
    <row r="33">
      <c r="A33" s="17">
        <f>IF(Consultores!A33="","",Consultores!A33)</f>
        <v/>
      </c>
      <c r="B33" s="17">
        <f>IF(Consultores!A33="","",Consultores!B33)</f>
        <v/>
      </c>
      <c r="C33" s="35">
        <f>_xlfn.LET(_xlpm.feriados,IF($B33="CO",FER_CO,FER_EC),_xlpm.dias,NETWORKDAYS(Asignaciones!J$3,Asignaciones!J$4,_xlpm.feriados),IF($A33="","",_xlpm.dias*Consultores!$C33))</f>
        <v/>
      </c>
      <c r="D33" s="35">
        <f>_xlfn.LET(_xlpm.feriados,IF($B33="CO",FER_CO,FER_EC),_xlpm.dias,NETWORKDAYS(Asignaciones!K$3,Asignaciones!K$4,_xlpm.feriados),IF($A33="","",_xlpm.dias*Consultores!$C33))</f>
        <v/>
      </c>
      <c r="E33" s="35">
        <f>_xlfn.LET(_xlpm.feriados,IF($B33="CO",FER_CO,FER_EC),_xlpm.dias,NETWORKDAYS(Asignaciones!L$3,Asignaciones!L$4,_xlpm.feriados),IF($A33="","",_xlpm.dias*Consultores!$C33))</f>
        <v/>
      </c>
      <c r="F33" s="35">
        <f>_xlfn.LET(_xlpm.feriados,IF($B33="CO",FER_CO,FER_EC),_xlpm.dias,NETWORKDAYS(Asignaciones!M$3,Asignaciones!M$4,_xlpm.feriados),IF($A33="","",_xlpm.dias*Consultores!$C33))</f>
        <v/>
      </c>
      <c r="G33" s="35">
        <f>_xlfn.LET(_xlpm.feriados,IF($B33="CO",FER_CO,FER_EC),_xlpm.dias,NETWORKDAYS(Asignaciones!N$3,Asignaciones!N$4,_xlpm.feriados),IF($A33="","",_xlpm.dias*Consultores!$C33))</f>
        <v/>
      </c>
      <c r="H33" s="35">
        <f>_xlfn.LET(_xlpm.feriados,IF($B33="CO",FER_CO,FER_EC),_xlpm.dias,NETWORKDAYS(Asignaciones!O$3,Asignaciones!O$4,_xlpm.feriados),IF($A33="","",_xlpm.dias*Consultores!$C33))</f>
        <v/>
      </c>
      <c r="I33" s="3" t="n"/>
      <c r="J33" s="35">
        <f>IF($A33="","",SUMIFS(Asignaciones!J$6:J$305,Asignaciones!$A$6:$A$305,$A33))</f>
        <v/>
      </c>
      <c r="K33" s="35">
        <f>IF($A33="","",SUMIFS(Asignaciones!K$6:K$305,Asignaciones!$A$6:$A$305,$A33))</f>
        <v/>
      </c>
      <c r="L33" s="35">
        <f>IF($A33="","",SUMIFS(Asignaciones!L$6:L$305,Asignaciones!$A$6:$A$305,$A33))</f>
        <v/>
      </c>
      <c r="M33" s="35">
        <f>IF($A33="","",SUMIFS(Asignaciones!M$6:M$305,Asignaciones!$A$6:$A$305,$A33))</f>
        <v/>
      </c>
      <c r="N33" s="35">
        <f>IF($A33="","",SUMIFS(Asignaciones!N$6:N$305,Asignaciones!$A$6:$A$305,$A33))</f>
        <v/>
      </c>
      <c r="O33" s="35">
        <f>IF($A33="","",SUMIFS(Asignaciones!O$6:O$305,Asignaciones!$A$6:$A$305,$A33))</f>
        <v/>
      </c>
      <c r="P33" s="3" t="n"/>
      <c r="Q33" s="35">
        <f>IF($A33="","",C33-J33)</f>
        <v/>
      </c>
      <c r="R33" s="35">
        <f>IF($A33="","",D33-K33)</f>
        <v/>
      </c>
      <c r="S33" s="35">
        <f>IF($A33="","",E33-L33)</f>
        <v/>
      </c>
      <c r="T33" s="35">
        <f>IF($A33="","",F33-M33)</f>
        <v/>
      </c>
      <c r="U33" s="35">
        <f>IF($A33="","",G33-N33)</f>
        <v/>
      </c>
      <c r="V33" s="35">
        <f>IF($A33="","",H33-O33)</f>
        <v/>
      </c>
    </row>
    <row r="34">
      <c r="A34" s="17">
        <f>IF(Consultores!A34="","",Consultores!A34)</f>
        <v/>
      </c>
      <c r="B34" s="17">
        <f>IF(Consultores!A34="","",Consultores!B34)</f>
        <v/>
      </c>
      <c r="C34" s="35">
        <f>_xlfn.LET(_xlpm.feriados,IF($B34="CO",FER_CO,FER_EC),_xlpm.dias,NETWORKDAYS(Asignaciones!J$3,Asignaciones!J$4,_xlpm.feriados),IF($A34="","",_xlpm.dias*Consultores!$C34))</f>
        <v/>
      </c>
      <c r="D34" s="35">
        <f>_xlfn.LET(_xlpm.feriados,IF($B34="CO",FER_CO,FER_EC),_xlpm.dias,NETWORKDAYS(Asignaciones!K$3,Asignaciones!K$4,_xlpm.feriados),IF($A34="","",_xlpm.dias*Consultores!$C34))</f>
        <v/>
      </c>
      <c r="E34" s="35">
        <f>_xlfn.LET(_xlpm.feriados,IF($B34="CO",FER_CO,FER_EC),_xlpm.dias,NETWORKDAYS(Asignaciones!L$3,Asignaciones!L$4,_xlpm.feriados),IF($A34="","",_xlpm.dias*Consultores!$C34))</f>
        <v/>
      </c>
      <c r="F34" s="35">
        <f>_xlfn.LET(_xlpm.feriados,IF($B34="CO",FER_CO,FER_EC),_xlpm.dias,NETWORKDAYS(Asignaciones!M$3,Asignaciones!M$4,_xlpm.feriados),IF($A34="","",_xlpm.dias*Consultores!$C34))</f>
        <v/>
      </c>
      <c r="G34" s="35">
        <f>_xlfn.LET(_xlpm.feriados,IF($B34="CO",FER_CO,FER_EC),_xlpm.dias,NETWORKDAYS(Asignaciones!N$3,Asignaciones!N$4,_xlpm.feriados),IF($A34="","",_xlpm.dias*Consultores!$C34))</f>
        <v/>
      </c>
      <c r="H34" s="35">
        <f>_xlfn.LET(_xlpm.feriados,IF($B34="CO",FER_CO,FER_EC),_xlpm.dias,NETWORKDAYS(Asignaciones!O$3,Asignaciones!O$4,_xlpm.feriados),IF($A34="","",_xlpm.dias*Consultores!$C34))</f>
        <v/>
      </c>
      <c r="I34" s="3" t="n"/>
      <c r="J34" s="35">
        <f>IF($A34="","",SUMIFS(Asignaciones!J$6:J$305,Asignaciones!$A$6:$A$305,$A34))</f>
        <v/>
      </c>
      <c r="K34" s="35">
        <f>IF($A34="","",SUMIFS(Asignaciones!K$6:K$305,Asignaciones!$A$6:$A$305,$A34))</f>
        <v/>
      </c>
      <c r="L34" s="35">
        <f>IF($A34="","",SUMIFS(Asignaciones!L$6:L$305,Asignaciones!$A$6:$A$305,$A34))</f>
        <v/>
      </c>
      <c r="M34" s="35">
        <f>IF($A34="","",SUMIFS(Asignaciones!M$6:M$305,Asignaciones!$A$6:$A$305,$A34))</f>
        <v/>
      </c>
      <c r="N34" s="35">
        <f>IF($A34="","",SUMIFS(Asignaciones!N$6:N$305,Asignaciones!$A$6:$A$305,$A34))</f>
        <v/>
      </c>
      <c r="O34" s="35">
        <f>IF($A34="","",SUMIFS(Asignaciones!O$6:O$305,Asignaciones!$A$6:$A$305,$A34))</f>
        <v/>
      </c>
      <c r="P34" s="3" t="n"/>
      <c r="Q34" s="35">
        <f>IF($A34="","",C34-J34)</f>
        <v/>
      </c>
      <c r="R34" s="35">
        <f>IF($A34="","",D34-K34)</f>
        <v/>
      </c>
      <c r="S34" s="35">
        <f>IF($A34="","",E34-L34)</f>
        <v/>
      </c>
      <c r="T34" s="35">
        <f>IF($A34="","",F34-M34)</f>
        <v/>
      </c>
      <c r="U34" s="35">
        <f>IF($A34="","",G34-N34)</f>
        <v/>
      </c>
      <c r="V34" s="35">
        <f>IF($A34="","",H34-O34)</f>
        <v/>
      </c>
    </row>
    <row r="35">
      <c r="A35" s="17">
        <f>IF(Consultores!A35="","",Consultores!A35)</f>
        <v/>
      </c>
      <c r="B35" s="17">
        <f>IF(Consultores!A35="","",Consultores!B35)</f>
        <v/>
      </c>
      <c r="C35" s="35">
        <f>_xlfn.LET(_xlpm.feriados,IF($B35="CO",FER_CO,FER_EC),_xlpm.dias,NETWORKDAYS(Asignaciones!J$3,Asignaciones!J$4,_xlpm.feriados),IF($A35="","",_xlpm.dias*Consultores!$C35))</f>
        <v/>
      </c>
      <c r="D35" s="35">
        <f>_xlfn.LET(_xlpm.feriados,IF($B35="CO",FER_CO,FER_EC),_xlpm.dias,NETWORKDAYS(Asignaciones!K$3,Asignaciones!K$4,_xlpm.feriados),IF($A35="","",_xlpm.dias*Consultores!$C35))</f>
        <v/>
      </c>
      <c r="E35" s="35">
        <f>_xlfn.LET(_xlpm.feriados,IF($B35="CO",FER_CO,FER_EC),_xlpm.dias,NETWORKDAYS(Asignaciones!L$3,Asignaciones!L$4,_xlpm.feriados),IF($A35="","",_xlpm.dias*Consultores!$C35))</f>
        <v/>
      </c>
      <c r="F35" s="35">
        <f>_xlfn.LET(_xlpm.feriados,IF($B35="CO",FER_CO,FER_EC),_xlpm.dias,NETWORKDAYS(Asignaciones!M$3,Asignaciones!M$4,_xlpm.feriados),IF($A35="","",_xlpm.dias*Consultores!$C35))</f>
        <v/>
      </c>
      <c r="G35" s="35">
        <f>_xlfn.LET(_xlpm.feriados,IF($B35="CO",FER_CO,FER_EC),_xlpm.dias,NETWORKDAYS(Asignaciones!N$3,Asignaciones!N$4,_xlpm.feriados),IF($A35="","",_xlpm.dias*Consultores!$C35))</f>
        <v/>
      </c>
      <c r="H35" s="35">
        <f>_xlfn.LET(_xlpm.feriados,IF($B35="CO",FER_CO,FER_EC),_xlpm.dias,NETWORKDAYS(Asignaciones!O$3,Asignaciones!O$4,_xlpm.feriados),IF($A35="","",_xlpm.dias*Consultores!$C35))</f>
        <v/>
      </c>
      <c r="I35" s="3" t="n"/>
      <c r="J35" s="35">
        <f>IF($A35="","",SUMIFS(Asignaciones!J$6:J$305,Asignaciones!$A$6:$A$305,$A35))</f>
        <v/>
      </c>
      <c r="K35" s="35">
        <f>IF($A35="","",SUMIFS(Asignaciones!K$6:K$305,Asignaciones!$A$6:$A$305,$A35))</f>
        <v/>
      </c>
      <c r="L35" s="35">
        <f>IF($A35="","",SUMIFS(Asignaciones!L$6:L$305,Asignaciones!$A$6:$A$305,$A35))</f>
        <v/>
      </c>
      <c r="M35" s="35">
        <f>IF($A35="","",SUMIFS(Asignaciones!M$6:M$305,Asignaciones!$A$6:$A$305,$A35))</f>
        <v/>
      </c>
      <c r="N35" s="35">
        <f>IF($A35="","",SUMIFS(Asignaciones!N$6:N$305,Asignaciones!$A$6:$A$305,$A35))</f>
        <v/>
      </c>
      <c r="O35" s="35">
        <f>IF($A35="","",SUMIFS(Asignaciones!O$6:O$305,Asignaciones!$A$6:$A$305,$A35))</f>
        <v/>
      </c>
      <c r="P35" s="3" t="n"/>
      <c r="Q35" s="35">
        <f>IF($A35="","",C35-J35)</f>
        <v/>
      </c>
      <c r="R35" s="35">
        <f>IF($A35="","",D35-K35)</f>
        <v/>
      </c>
      <c r="S35" s="35">
        <f>IF($A35="","",E35-L35)</f>
        <v/>
      </c>
      <c r="T35" s="35">
        <f>IF($A35="","",F35-M35)</f>
        <v/>
      </c>
      <c r="U35" s="35">
        <f>IF($A35="","",G35-N35)</f>
        <v/>
      </c>
      <c r="V35" s="35">
        <f>IF($A35="","",H35-O35)</f>
        <v/>
      </c>
    </row>
    <row r="36">
      <c r="A36" s="17">
        <f>IF(Consultores!A36="","",Consultores!A36)</f>
        <v/>
      </c>
      <c r="B36" s="17">
        <f>IF(Consultores!A36="","",Consultores!B36)</f>
        <v/>
      </c>
      <c r="C36" s="35">
        <f>_xlfn.LET(_xlpm.feriados,IF($B36="CO",FER_CO,FER_EC),_xlpm.dias,NETWORKDAYS(Asignaciones!J$3,Asignaciones!J$4,_xlpm.feriados),IF($A36="","",_xlpm.dias*Consultores!$C36))</f>
        <v/>
      </c>
      <c r="D36" s="35">
        <f>_xlfn.LET(_xlpm.feriados,IF($B36="CO",FER_CO,FER_EC),_xlpm.dias,NETWORKDAYS(Asignaciones!K$3,Asignaciones!K$4,_xlpm.feriados),IF($A36="","",_xlpm.dias*Consultores!$C36))</f>
        <v/>
      </c>
      <c r="E36" s="35">
        <f>_xlfn.LET(_xlpm.feriados,IF($B36="CO",FER_CO,FER_EC),_xlpm.dias,NETWORKDAYS(Asignaciones!L$3,Asignaciones!L$4,_xlpm.feriados),IF($A36="","",_xlpm.dias*Consultores!$C36))</f>
        <v/>
      </c>
      <c r="F36" s="35">
        <f>_xlfn.LET(_xlpm.feriados,IF($B36="CO",FER_CO,FER_EC),_xlpm.dias,NETWORKDAYS(Asignaciones!M$3,Asignaciones!M$4,_xlpm.feriados),IF($A36="","",_xlpm.dias*Consultores!$C36))</f>
        <v/>
      </c>
      <c r="G36" s="35">
        <f>_xlfn.LET(_xlpm.feriados,IF($B36="CO",FER_CO,FER_EC),_xlpm.dias,NETWORKDAYS(Asignaciones!N$3,Asignaciones!N$4,_xlpm.feriados),IF($A36="","",_xlpm.dias*Consultores!$C36))</f>
        <v/>
      </c>
      <c r="H36" s="35">
        <f>_xlfn.LET(_xlpm.feriados,IF($B36="CO",FER_CO,FER_EC),_xlpm.dias,NETWORKDAYS(Asignaciones!O$3,Asignaciones!O$4,_xlpm.feriados),IF($A36="","",_xlpm.dias*Consultores!$C36))</f>
        <v/>
      </c>
      <c r="I36" s="3" t="n"/>
      <c r="J36" s="35">
        <f>IF($A36="","",SUMIFS(Asignaciones!J$6:J$305,Asignaciones!$A$6:$A$305,$A36))</f>
        <v/>
      </c>
      <c r="K36" s="35">
        <f>IF($A36="","",SUMIFS(Asignaciones!K$6:K$305,Asignaciones!$A$6:$A$305,$A36))</f>
        <v/>
      </c>
      <c r="L36" s="35">
        <f>IF($A36="","",SUMIFS(Asignaciones!L$6:L$305,Asignaciones!$A$6:$A$305,$A36))</f>
        <v/>
      </c>
      <c r="M36" s="35">
        <f>IF($A36="","",SUMIFS(Asignaciones!M$6:M$305,Asignaciones!$A$6:$A$305,$A36))</f>
        <v/>
      </c>
      <c r="N36" s="35">
        <f>IF($A36="","",SUMIFS(Asignaciones!N$6:N$305,Asignaciones!$A$6:$A$305,$A36))</f>
        <v/>
      </c>
      <c r="O36" s="35">
        <f>IF($A36="","",SUMIFS(Asignaciones!O$6:O$305,Asignaciones!$A$6:$A$305,$A36))</f>
        <v/>
      </c>
      <c r="P36" s="3" t="n"/>
      <c r="Q36" s="35">
        <f>IF($A36="","",C36-J36)</f>
        <v/>
      </c>
      <c r="R36" s="35">
        <f>IF($A36="","",D36-K36)</f>
        <v/>
      </c>
      <c r="S36" s="35">
        <f>IF($A36="","",E36-L36)</f>
        <v/>
      </c>
      <c r="T36" s="35">
        <f>IF($A36="","",F36-M36)</f>
        <v/>
      </c>
      <c r="U36" s="35">
        <f>IF($A36="","",G36-N36)</f>
        <v/>
      </c>
      <c r="V36" s="35">
        <f>IF($A36="","",H36-O36)</f>
        <v/>
      </c>
    </row>
    <row r="37">
      <c r="A37" s="17">
        <f>IF(Consultores!A37="","",Consultores!A37)</f>
        <v/>
      </c>
      <c r="B37" s="17">
        <f>IF(Consultores!A37="","",Consultores!B37)</f>
        <v/>
      </c>
      <c r="C37" s="35">
        <f>_xlfn.LET(_xlpm.feriados,IF($B37="CO",FER_CO,FER_EC),_xlpm.dias,NETWORKDAYS(Asignaciones!J$3,Asignaciones!J$4,_xlpm.feriados),IF($A37="","",_xlpm.dias*Consultores!$C37))</f>
        <v/>
      </c>
      <c r="D37" s="35">
        <f>_xlfn.LET(_xlpm.feriados,IF($B37="CO",FER_CO,FER_EC),_xlpm.dias,NETWORKDAYS(Asignaciones!K$3,Asignaciones!K$4,_xlpm.feriados),IF($A37="","",_xlpm.dias*Consultores!$C37))</f>
        <v/>
      </c>
      <c r="E37" s="35">
        <f>_xlfn.LET(_xlpm.feriados,IF($B37="CO",FER_CO,FER_EC),_xlpm.dias,NETWORKDAYS(Asignaciones!L$3,Asignaciones!L$4,_xlpm.feriados),IF($A37="","",_xlpm.dias*Consultores!$C37))</f>
        <v/>
      </c>
      <c r="F37" s="35">
        <f>_xlfn.LET(_xlpm.feriados,IF($B37="CO",FER_CO,FER_EC),_xlpm.dias,NETWORKDAYS(Asignaciones!M$3,Asignaciones!M$4,_xlpm.feriados),IF($A37="","",_xlpm.dias*Consultores!$C37))</f>
        <v/>
      </c>
      <c r="G37" s="35">
        <f>_xlfn.LET(_xlpm.feriados,IF($B37="CO",FER_CO,FER_EC),_xlpm.dias,NETWORKDAYS(Asignaciones!N$3,Asignaciones!N$4,_xlpm.feriados),IF($A37="","",_xlpm.dias*Consultores!$C37))</f>
        <v/>
      </c>
      <c r="H37" s="35">
        <f>_xlfn.LET(_xlpm.feriados,IF($B37="CO",FER_CO,FER_EC),_xlpm.dias,NETWORKDAYS(Asignaciones!O$3,Asignaciones!O$4,_xlpm.feriados),IF($A37="","",_xlpm.dias*Consultores!$C37))</f>
        <v/>
      </c>
      <c r="I37" s="3" t="n"/>
      <c r="J37" s="35">
        <f>IF($A37="","",SUMIFS(Asignaciones!J$6:J$305,Asignaciones!$A$6:$A$305,$A37))</f>
        <v/>
      </c>
      <c r="K37" s="35">
        <f>IF($A37="","",SUMIFS(Asignaciones!K$6:K$305,Asignaciones!$A$6:$A$305,$A37))</f>
        <v/>
      </c>
      <c r="L37" s="35">
        <f>IF($A37="","",SUMIFS(Asignaciones!L$6:L$305,Asignaciones!$A$6:$A$305,$A37))</f>
        <v/>
      </c>
      <c r="M37" s="35">
        <f>IF($A37="","",SUMIFS(Asignaciones!M$6:M$305,Asignaciones!$A$6:$A$305,$A37))</f>
        <v/>
      </c>
      <c r="N37" s="35">
        <f>IF($A37="","",SUMIFS(Asignaciones!N$6:N$305,Asignaciones!$A$6:$A$305,$A37))</f>
        <v/>
      </c>
      <c r="O37" s="35">
        <f>IF($A37="","",SUMIFS(Asignaciones!O$6:O$305,Asignaciones!$A$6:$A$305,$A37))</f>
        <v/>
      </c>
      <c r="P37" s="3" t="n"/>
      <c r="Q37" s="35">
        <f>IF($A37="","",C37-J37)</f>
        <v/>
      </c>
      <c r="R37" s="35">
        <f>IF($A37="","",D37-K37)</f>
        <v/>
      </c>
      <c r="S37" s="35">
        <f>IF($A37="","",E37-L37)</f>
        <v/>
      </c>
      <c r="T37" s="35">
        <f>IF($A37="","",F37-M37)</f>
        <v/>
      </c>
      <c r="U37" s="35">
        <f>IF($A37="","",G37-N37)</f>
        <v/>
      </c>
      <c r="V37" s="35">
        <f>IF($A37="","",H37-O37)</f>
        <v/>
      </c>
    </row>
    <row r="38">
      <c r="A38" s="17">
        <f>IF(Consultores!A38="","",Consultores!A38)</f>
        <v/>
      </c>
      <c r="B38" s="17">
        <f>IF(Consultores!A38="","",Consultores!B38)</f>
        <v/>
      </c>
      <c r="C38" s="35">
        <f>_xlfn.LET(_xlpm.feriados,IF($B38="CO",FER_CO,FER_EC),_xlpm.dias,NETWORKDAYS(Asignaciones!J$3,Asignaciones!J$4,_xlpm.feriados),IF($A38="","",_xlpm.dias*Consultores!$C38))</f>
        <v/>
      </c>
      <c r="D38" s="35">
        <f>_xlfn.LET(_xlpm.feriados,IF($B38="CO",FER_CO,FER_EC),_xlpm.dias,NETWORKDAYS(Asignaciones!K$3,Asignaciones!K$4,_xlpm.feriados),IF($A38="","",_xlpm.dias*Consultores!$C38))</f>
        <v/>
      </c>
      <c r="E38" s="35">
        <f>_xlfn.LET(_xlpm.feriados,IF($B38="CO",FER_CO,FER_EC),_xlpm.dias,NETWORKDAYS(Asignaciones!L$3,Asignaciones!L$4,_xlpm.feriados),IF($A38="","",_xlpm.dias*Consultores!$C38))</f>
        <v/>
      </c>
      <c r="F38" s="35">
        <f>_xlfn.LET(_xlpm.feriados,IF($B38="CO",FER_CO,FER_EC),_xlpm.dias,NETWORKDAYS(Asignaciones!M$3,Asignaciones!M$4,_xlpm.feriados),IF($A38="","",_xlpm.dias*Consultores!$C38))</f>
        <v/>
      </c>
      <c r="G38" s="35">
        <f>_xlfn.LET(_xlpm.feriados,IF($B38="CO",FER_CO,FER_EC),_xlpm.dias,NETWORKDAYS(Asignaciones!N$3,Asignaciones!N$4,_xlpm.feriados),IF($A38="","",_xlpm.dias*Consultores!$C38))</f>
        <v/>
      </c>
      <c r="H38" s="35">
        <f>_xlfn.LET(_xlpm.feriados,IF($B38="CO",FER_CO,FER_EC),_xlpm.dias,NETWORKDAYS(Asignaciones!O$3,Asignaciones!O$4,_xlpm.feriados),IF($A38="","",_xlpm.dias*Consultores!$C38))</f>
        <v/>
      </c>
      <c r="I38" s="3" t="n"/>
      <c r="J38" s="35">
        <f>IF($A38="","",SUMIFS(Asignaciones!J$6:J$305,Asignaciones!$A$6:$A$305,$A38))</f>
        <v/>
      </c>
      <c r="K38" s="35">
        <f>IF($A38="","",SUMIFS(Asignaciones!K$6:K$305,Asignaciones!$A$6:$A$305,$A38))</f>
        <v/>
      </c>
      <c r="L38" s="35">
        <f>IF($A38="","",SUMIFS(Asignaciones!L$6:L$305,Asignaciones!$A$6:$A$305,$A38))</f>
        <v/>
      </c>
      <c r="M38" s="35">
        <f>IF($A38="","",SUMIFS(Asignaciones!M$6:M$305,Asignaciones!$A$6:$A$305,$A38))</f>
        <v/>
      </c>
      <c r="N38" s="35">
        <f>IF($A38="","",SUMIFS(Asignaciones!N$6:N$305,Asignaciones!$A$6:$A$305,$A38))</f>
        <v/>
      </c>
      <c r="O38" s="35">
        <f>IF($A38="","",SUMIFS(Asignaciones!O$6:O$305,Asignaciones!$A$6:$A$305,$A38))</f>
        <v/>
      </c>
      <c r="P38" s="3" t="n"/>
      <c r="Q38" s="35">
        <f>IF($A38="","",C38-J38)</f>
        <v/>
      </c>
      <c r="R38" s="35">
        <f>IF($A38="","",D38-K38)</f>
        <v/>
      </c>
      <c r="S38" s="35">
        <f>IF($A38="","",E38-L38)</f>
        <v/>
      </c>
      <c r="T38" s="35">
        <f>IF($A38="","",F38-M38)</f>
        <v/>
      </c>
      <c r="U38" s="35">
        <f>IF($A38="","",G38-N38)</f>
        <v/>
      </c>
      <c r="V38" s="35">
        <f>IF($A38="","",H38-O38)</f>
        <v/>
      </c>
    </row>
    <row r="39">
      <c r="A39" s="17">
        <f>IF(Consultores!A39="","",Consultores!A39)</f>
        <v/>
      </c>
      <c r="B39" s="17">
        <f>IF(Consultores!A39="","",Consultores!B39)</f>
        <v/>
      </c>
      <c r="C39" s="35">
        <f>_xlfn.LET(_xlpm.feriados,IF($B39="CO",FER_CO,FER_EC),_xlpm.dias,NETWORKDAYS(Asignaciones!J$3,Asignaciones!J$4,_xlpm.feriados),IF($A39="","",_xlpm.dias*Consultores!$C39))</f>
        <v/>
      </c>
      <c r="D39" s="35">
        <f>_xlfn.LET(_xlpm.feriados,IF($B39="CO",FER_CO,FER_EC),_xlpm.dias,NETWORKDAYS(Asignaciones!K$3,Asignaciones!K$4,_xlpm.feriados),IF($A39="","",_xlpm.dias*Consultores!$C39))</f>
        <v/>
      </c>
      <c r="E39" s="35">
        <f>_xlfn.LET(_xlpm.feriados,IF($B39="CO",FER_CO,FER_EC),_xlpm.dias,NETWORKDAYS(Asignaciones!L$3,Asignaciones!L$4,_xlpm.feriados),IF($A39="","",_xlpm.dias*Consultores!$C39))</f>
        <v/>
      </c>
      <c r="F39" s="35">
        <f>_xlfn.LET(_xlpm.feriados,IF($B39="CO",FER_CO,FER_EC),_xlpm.dias,NETWORKDAYS(Asignaciones!M$3,Asignaciones!M$4,_xlpm.feriados),IF($A39="","",_xlpm.dias*Consultores!$C39))</f>
        <v/>
      </c>
      <c r="G39" s="35">
        <f>_xlfn.LET(_xlpm.feriados,IF($B39="CO",FER_CO,FER_EC),_xlpm.dias,NETWORKDAYS(Asignaciones!N$3,Asignaciones!N$4,_xlpm.feriados),IF($A39="","",_xlpm.dias*Consultores!$C39))</f>
        <v/>
      </c>
      <c r="H39" s="35">
        <f>_xlfn.LET(_xlpm.feriados,IF($B39="CO",FER_CO,FER_EC),_xlpm.dias,NETWORKDAYS(Asignaciones!O$3,Asignaciones!O$4,_xlpm.feriados),IF($A39="","",_xlpm.dias*Consultores!$C39))</f>
        <v/>
      </c>
      <c r="I39" s="3" t="n"/>
      <c r="J39" s="35">
        <f>IF($A39="","",SUMIFS(Asignaciones!J$6:J$305,Asignaciones!$A$6:$A$305,$A39))</f>
        <v/>
      </c>
      <c r="K39" s="35">
        <f>IF($A39="","",SUMIFS(Asignaciones!K$6:K$305,Asignaciones!$A$6:$A$305,$A39))</f>
        <v/>
      </c>
      <c r="L39" s="35">
        <f>IF($A39="","",SUMIFS(Asignaciones!L$6:L$305,Asignaciones!$A$6:$A$305,$A39))</f>
        <v/>
      </c>
      <c r="M39" s="35">
        <f>IF($A39="","",SUMIFS(Asignaciones!M$6:M$305,Asignaciones!$A$6:$A$305,$A39))</f>
        <v/>
      </c>
      <c r="N39" s="35">
        <f>IF($A39="","",SUMIFS(Asignaciones!N$6:N$305,Asignaciones!$A$6:$A$305,$A39))</f>
        <v/>
      </c>
      <c r="O39" s="35">
        <f>IF($A39="","",SUMIFS(Asignaciones!O$6:O$305,Asignaciones!$A$6:$A$305,$A39))</f>
        <v/>
      </c>
      <c r="P39" s="3" t="n"/>
      <c r="Q39" s="35">
        <f>IF($A39="","",C39-J39)</f>
        <v/>
      </c>
      <c r="R39" s="35">
        <f>IF($A39="","",D39-K39)</f>
        <v/>
      </c>
      <c r="S39" s="35">
        <f>IF($A39="","",E39-L39)</f>
        <v/>
      </c>
      <c r="T39" s="35">
        <f>IF($A39="","",F39-M39)</f>
        <v/>
      </c>
      <c r="U39" s="35">
        <f>IF($A39="","",G39-N39)</f>
        <v/>
      </c>
      <c r="V39" s="35">
        <f>IF($A39="","",H39-O39)</f>
        <v/>
      </c>
    </row>
    <row r="40">
      <c r="A40" s="17">
        <f>IF(Consultores!A40="","",Consultores!A40)</f>
        <v/>
      </c>
      <c r="B40" s="17">
        <f>IF(Consultores!A40="","",Consultores!B40)</f>
        <v/>
      </c>
      <c r="C40" s="35">
        <f>_xlfn.LET(_xlpm.feriados,IF($B40="CO",FER_CO,FER_EC),_xlpm.dias,NETWORKDAYS(Asignaciones!J$3,Asignaciones!J$4,_xlpm.feriados),IF($A40="","",_xlpm.dias*Consultores!$C40))</f>
        <v/>
      </c>
      <c r="D40" s="35">
        <f>_xlfn.LET(_xlpm.feriados,IF($B40="CO",FER_CO,FER_EC),_xlpm.dias,NETWORKDAYS(Asignaciones!K$3,Asignaciones!K$4,_xlpm.feriados),IF($A40="","",_xlpm.dias*Consultores!$C40))</f>
        <v/>
      </c>
      <c r="E40" s="35">
        <f>_xlfn.LET(_xlpm.feriados,IF($B40="CO",FER_CO,FER_EC),_xlpm.dias,NETWORKDAYS(Asignaciones!L$3,Asignaciones!L$4,_xlpm.feriados),IF($A40="","",_xlpm.dias*Consultores!$C40))</f>
        <v/>
      </c>
      <c r="F40" s="35">
        <f>_xlfn.LET(_xlpm.feriados,IF($B40="CO",FER_CO,FER_EC),_xlpm.dias,NETWORKDAYS(Asignaciones!M$3,Asignaciones!M$4,_xlpm.feriados),IF($A40="","",_xlpm.dias*Consultores!$C40))</f>
        <v/>
      </c>
      <c r="G40" s="35">
        <f>_xlfn.LET(_xlpm.feriados,IF($B40="CO",FER_CO,FER_EC),_xlpm.dias,NETWORKDAYS(Asignaciones!N$3,Asignaciones!N$4,_xlpm.feriados),IF($A40="","",_xlpm.dias*Consultores!$C40))</f>
        <v/>
      </c>
      <c r="H40" s="35">
        <f>_xlfn.LET(_xlpm.feriados,IF($B40="CO",FER_CO,FER_EC),_xlpm.dias,NETWORKDAYS(Asignaciones!O$3,Asignaciones!O$4,_xlpm.feriados),IF($A40="","",_xlpm.dias*Consultores!$C40))</f>
        <v/>
      </c>
      <c r="I40" s="3" t="n"/>
      <c r="J40" s="35">
        <f>IF($A40="","",SUMIFS(Asignaciones!J$6:J$305,Asignaciones!$A$6:$A$305,$A40))</f>
        <v/>
      </c>
      <c r="K40" s="35">
        <f>IF($A40="","",SUMIFS(Asignaciones!K$6:K$305,Asignaciones!$A$6:$A$305,$A40))</f>
        <v/>
      </c>
      <c r="L40" s="35">
        <f>IF($A40="","",SUMIFS(Asignaciones!L$6:L$305,Asignaciones!$A$6:$A$305,$A40))</f>
        <v/>
      </c>
      <c r="M40" s="35">
        <f>IF($A40="","",SUMIFS(Asignaciones!M$6:M$305,Asignaciones!$A$6:$A$305,$A40))</f>
        <v/>
      </c>
      <c r="N40" s="35">
        <f>IF($A40="","",SUMIFS(Asignaciones!N$6:N$305,Asignaciones!$A$6:$A$305,$A40))</f>
        <v/>
      </c>
      <c r="O40" s="35">
        <f>IF($A40="","",SUMIFS(Asignaciones!O$6:O$305,Asignaciones!$A$6:$A$305,$A40))</f>
        <v/>
      </c>
      <c r="P40" s="3" t="n"/>
      <c r="Q40" s="35">
        <f>IF($A40="","",C40-J40)</f>
        <v/>
      </c>
      <c r="R40" s="35">
        <f>IF($A40="","",D40-K40)</f>
        <v/>
      </c>
      <c r="S40" s="35">
        <f>IF($A40="","",E40-L40)</f>
        <v/>
      </c>
      <c r="T40" s="35">
        <f>IF($A40="","",F40-M40)</f>
        <v/>
      </c>
      <c r="U40" s="35">
        <f>IF($A40="","",G40-N40)</f>
        <v/>
      </c>
      <c r="V40" s="35">
        <f>IF($A40="","",H40-O40)</f>
        <v/>
      </c>
    </row>
    <row r="41">
      <c r="A41" s="17">
        <f>IF(Consultores!A41="","",Consultores!A41)</f>
        <v/>
      </c>
      <c r="B41" s="17">
        <f>IF(Consultores!A41="","",Consultores!B41)</f>
        <v/>
      </c>
      <c r="C41" s="35">
        <f>_xlfn.LET(_xlpm.feriados,IF($B41="CO",FER_CO,FER_EC),_xlpm.dias,NETWORKDAYS(Asignaciones!J$3,Asignaciones!J$4,_xlpm.feriados),IF($A41="","",_xlpm.dias*Consultores!$C41))</f>
        <v/>
      </c>
      <c r="D41" s="35">
        <f>_xlfn.LET(_xlpm.feriados,IF($B41="CO",FER_CO,FER_EC),_xlpm.dias,NETWORKDAYS(Asignaciones!K$3,Asignaciones!K$4,_xlpm.feriados),IF($A41="","",_xlpm.dias*Consultores!$C41))</f>
        <v/>
      </c>
      <c r="E41" s="35">
        <f>_xlfn.LET(_xlpm.feriados,IF($B41="CO",FER_CO,FER_EC),_xlpm.dias,NETWORKDAYS(Asignaciones!L$3,Asignaciones!L$4,_xlpm.feriados),IF($A41="","",_xlpm.dias*Consultores!$C41))</f>
        <v/>
      </c>
      <c r="F41" s="35">
        <f>_xlfn.LET(_xlpm.feriados,IF($B41="CO",FER_CO,FER_EC),_xlpm.dias,NETWORKDAYS(Asignaciones!M$3,Asignaciones!M$4,_xlpm.feriados),IF($A41="","",_xlpm.dias*Consultores!$C41))</f>
        <v/>
      </c>
      <c r="G41" s="35">
        <f>_xlfn.LET(_xlpm.feriados,IF($B41="CO",FER_CO,FER_EC),_xlpm.dias,NETWORKDAYS(Asignaciones!N$3,Asignaciones!N$4,_xlpm.feriados),IF($A41="","",_xlpm.dias*Consultores!$C41))</f>
        <v/>
      </c>
      <c r="H41" s="35">
        <f>_xlfn.LET(_xlpm.feriados,IF($B41="CO",FER_CO,FER_EC),_xlpm.dias,NETWORKDAYS(Asignaciones!O$3,Asignaciones!O$4,_xlpm.feriados),IF($A41="","",_xlpm.dias*Consultores!$C41))</f>
        <v/>
      </c>
      <c r="I41" s="3" t="n"/>
      <c r="J41" s="35">
        <f>IF($A41="","",SUMIFS(Asignaciones!J$6:J$305,Asignaciones!$A$6:$A$305,$A41))</f>
        <v/>
      </c>
      <c r="K41" s="35">
        <f>IF($A41="","",SUMIFS(Asignaciones!K$6:K$305,Asignaciones!$A$6:$A$305,$A41))</f>
        <v/>
      </c>
      <c r="L41" s="35">
        <f>IF($A41="","",SUMIFS(Asignaciones!L$6:L$305,Asignaciones!$A$6:$A$305,$A41))</f>
        <v/>
      </c>
      <c r="M41" s="35">
        <f>IF($A41="","",SUMIFS(Asignaciones!M$6:M$305,Asignaciones!$A$6:$A$305,$A41))</f>
        <v/>
      </c>
      <c r="N41" s="35">
        <f>IF($A41="","",SUMIFS(Asignaciones!N$6:N$305,Asignaciones!$A$6:$A$305,$A41))</f>
        <v/>
      </c>
      <c r="O41" s="35">
        <f>IF($A41="","",SUMIFS(Asignaciones!O$6:O$305,Asignaciones!$A$6:$A$305,$A41))</f>
        <v/>
      </c>
      <c r="P41" s="3" t="n"/>
      <c r="Q41" s="35">
        <f>IF($A41="","",C41-J41)</f>
        <v/>
      </c>
      <c r="R41" s="35">
        <f>IF($A41="","",D41-K41)</f>
        <v/>
      </c>
      <c r="S41" s="35">
        <f>IF($A41="","",E41-L41)</f>
        <v/>
      </c>
      <c r="T41" s="35">
        <f>IF($A41="","",F41-M41)</f>
        <v/>
      </c>
      <c r="U41" s="35">
        <f>IF($A41="","",G41-N41)</f>
        <v/>
      </c>
      <c r="V41" s="35">
        <f>IF($A41="","",H41-O41)</f>
        <v/>
      </c>
    </row>
    <row r="42">
      <c r="A42" s="17">
        <f>IF(Consultores!A42="","",Consultores!A42)</f>
        <v/>
      </c>
      <c r="B42" s="17">
        <f>IF(Consultores!A42="","",Consultores!B42)</f>
        <v/>
      </c>
      <c r="C42" s="35">
        <f>_xlfn.LET(_xlpm.feriados,IF($B42="CO",FER_CO,FER_EC),_xlpm.dias,NETWORKDAYS(Asignaciones!J$3,Asignaciones!J$4,_xlpm.feriados),IF($A42="","",_xlpm.dias*Consultores!$C42))</f>
        <v/>
      </c>
      <c r="D42" s="35">
        <f>_xlfn.LET(_xlpm.feriados,IF($B42="CO",FER_CO,FER_EC),_xlpm.dias,NETWORKDAYS(Asignaciones!K$3,Asignaciones!K$4,_xlpm.feriados),IF($A42="","",_xlpm.dias*Consultores!$C42))</f>
        <v/>
      </c>
      <c r="E42" s="35">
        <f>_xlfn.LET(_xlpm.feriados,IF($B42="CO",FER_CO,FER_EC),_xlpm.dias,NETWORKDAYS(Asignaciones!L$3,Asignaciones!L$4,_xlpm.feriados),IF($A42="","",_xlpm.dias*Consultores!$C42))</f>
        <v/>
      </c>
      <c r="F42" s="35">
        <f>_xlfn.LET(_xlpm.feriados,IF($B42="CO",FER_CO,FER_EC),_xlpm.dias,NETWORKDAYS(Asignaciones!M$3,Asignaciones!M$4,_xlpm.feriados),IF($A42="","",_xlpm.dias*Consultores!$C42))</f>
        <v/>
      </c>
      <c r="G42" s="35">
        <f>_xlfn.LET(_xlpm.feriados,IF($B42="CO",FER_CO,FER_EC),_xlpm.dias,NETWORKDAYS(Asignaciones!N$3,Asignaciones!N$4,_xlpm.feriados),IF($A42="","",_xlpm.dias*Consultores!$C42))</f>
        <v/>
      </c>
      <c r="H42" s="35">
        <f>_xlfn.LET(_xlpm.feriados,IF($B42="CO",FER_CO,FER_EC),_xlpm.dias,NETWORKDAYS(Asignaciones!O$3,Asignaciones!O$4,_xlpm.feriados),IF($A42="","",_xlpm.dias*Consultores!$C42))</f>
        <v/>
      </c>
      <c r="I42" s="3" t="n"/>
      <c r="J42" s="35">
        <f>IF($A42="","",SUMIFS(Asignaciones!J$6:J$305,Asignaciones!$A$6:$A$305,$A42))</f>
        <v/>
      </c>
      <c r="K42" s="35">
        <f>IF($A42="","",SUMIFS(Asignaciones!K$6:K$305,Asignaciones!$A$6:$A$305,$A42))</f>
        <v/>
      </c>
      <c r="L42" s="35">
        <f>IF($A42="","",SUMIFS(Asignaciones!L$6:L$305,Asignaciones!$A$6:$A$305,$A42))</f>
        <v/>
      </c>
      <c r="M42" s="35">
        <f>IF($A42="","",SUMIFS(Asignaciones!M$6:M$305,Asignaciones!$A$6:$A$305,$A42))</f>
        <v/>
      </c>
      <c r="N42" s="35">
        <f>IF($A42="","",SUMIFS(Asignaciones!N$6:N$305,Asignaciones!$A$6:$A$305,$A42))</f>
        <v/>
      </c>
      <c r="O42" s="35">
        <f>IF($A42="","",SUMIFS(Asignaciones!O$6:O$305,Asignaciones!$A$6:$A$305,$A42))</f>
        <v/>
      </c>
      <c r="P42" s="3" t="n"/>
      <c r="Q42" s="35">
        <f>IF($A42="","",C42-J42)</f>
        <v/>
      </c>
      <c r="R42" s="35">
        <f>IF($A42="","",D42-K42)</f>
        <v/>
      </c>
      <c r="S42" s="35">
        <f>IF($A42="","",E42-L42)</f>
        <v/>
      </c>
      <c r="T42" s="35">
        <f>IF($A42="","",F42-M42)</f>
        <v/>
      </c>
      <c r="U42" s="35">
        <f>IF($A42="","",G42-N42)</f>
        <v/>
      </c>
      <c r="V42" s="35">
        <f>IF($A42="","",H42-O42)</f>
        <v/>
      </c>
    </row>
    <row r="43">
      <c r="A43" s="17">
        <f>IF(Consultores!A43="","",Consultores!A43)</f>
        <v/>
      </c>
      <c r="B43" s="17">
        <f>IF(Consultores!A43="","",Consultores!B43)</f>
        <v/>
      </c>
      <c r="C43" s="35">
        <f>_xlfn.LET(_xlpm.feriados,IF($B43="CO",FER_CO,FER_EC),_xlpm.dias,NETWORKDAYS(Asignaciones!J$3,Asignaciones!J$4,_xlpm.feriados),IF($A43="","",_xlpm.dias*Consultores!$C43))</f>
        <v/>
      </c>
      <c r="D43" s="35">
        <f>_xlfn.LET(_xlpm.feriados,IF($B43="CO",FER_CO,FER_EC),_xlpm.dias,NETWORKDAYS(Asignaciones!K$3,Asignaciones!K$4,_xlpm.feriados),IF($A43="","",_xlpm.dias*Consultores!$C43))</f>
        <v/>
      </c>
      <c r="E43" s="35">
        <f>_xlfn.LET(_xlpm.feriados,IF($B43="CO",FER_CO,FER_EC),_xlpm.dias,NETWORKDAYS(Asignaciones!L$3,Asignaciones!L$4,_xlpm.feriados),IF($A43="","",_xlpm.dias*Consultores!$C43))</f>
        <v/>
      </c>
      <c r="F43" s="35">
        <f>_xlfn.LET(_xlpm.feriados,IF($B43="CO",FER_CO,FER_EC),_xlpm.dias,NETWORKDAYS(Asignaciones!M$3,Asignaciones!M$4,_xlpm.feriados),IF($A43="","",_xlpm.dias*Consultores!$C43))</f>
        <v/>
      </c>
      <c r="G43" s="35">
        <f>_xlfn.LET(_xlpm.feriados,IF($B43="CO",FER_CO,FER_EC),_xlpm.dias,NETWORKDAYS(Asignaciones!N$3,Asignaciones!N$4,_xlpm.feriados),IF($A43="","",_xlpm.dias*Consultores!$C43))</f>
        <v/>
      </c>
      <c r="H43" s="35">
        <f>_xlfn.LET(_xlpm.feriados,IF($B43="CO",FER_CO,FER_EC),_xlpm.dias,NETWORKDAYS(Asignaciones!O$3,Asignaciones!O$4,_xlpm.feriados),IF($A43="","",_xlpm.dias*Consultores!$C43))</f>
        <v/>
      </c>
      <c r="I43" s="3" t="n"/>
      <c r="J43" s="35">
        <f>IF($A43="","",SUMIFS(Asignaciones!J$6:J$305,Asignaciones!$A$6:$A$305,$A43))</f>
        <v/>
      </c>
      <c r="K43" s="35">
        <f>IF($A43="","",SUMIFS(Asignaciones!K$6:K$305,Asignaciones!$A$6:$A$305,$A43))</f>
        <v/>
      </c>
      <c r="L43" s="35">
        <f>IF($A43="","",SUMIFS(Asignaciones!L$6:L$305,Asignaciones!$A$6:$A$305,$A43))</f>
        <v/>
      </c>
      <c r="M43" s="35">
        <f>IF($A43="","",SUMIFS(Asignaciones!M$6:M$305,Asignaciones!$A$6:$A$305,$A43))</f>
        <v/>
      </c>
      <c r="N43" s="35">
        <f>IF($A43="","",SUMIFS(Asignaciones!N$6:N$305,Asignaciones!$A$6:$A$305,$A43))</f>
        <v/>
      </c>
      <c r="O43" s="35">
        <f>IF($A43="","",SUMIFS(Asignaciones!O$6:O$305,Asignaciones!$A$6:$A$305,$A43))</f>
        <v/>
      </c>
      <c r="P43" s="3" t="n"/>
      <c r="Q43" s="35">
        <f>IF($A43="","",C43-J43)</f>
        <v/>
      </c>
      <c r="R43" s="35">
        <f>IF($A43="","",D43-K43)</f>
        <v/>
      </c>
      <c r="S43" s="35">
        <f>IF($A43="","",E43-L43)</f>
        <v/>
      </c>
      <c r="T43" s="35">
        <f>IF($A43="","",F43-M43)</f>
        <v/>
      </c>
      <c r="U43" s="35">
        <f>IF($A43="","",G43-N43)</f>
        <v/>
      </c>
      <c r="V43" s="35">
        <f>IF($A43="","",H43-O43)</f>
        <v/>
      </c>
    </row>
    <row r="44">
      <c r="A44" s="17">
        <f>IF(Consultores!A44="","",Consultores!A44)</f>
        <v/>
      </c>
      <c r="B44" s="17">
        <f>IF(Consultores!A44="","",Consultores!B44)</f>
        <v/>
      </c>
      <c r="C44" s="35">
        <f>_xlfn.LET(_xlpm.feriados,IF($B44="CO",FER_CO,FER_EC),_xlpm.dias,NETWORKDAYS(Asignaciones!J$3,Asignaciones!J$4,_xlpm.feriados),IF($A44="","",_xlpm.dias*Consultores!$C44))</f>
        <v/>
      </c>
      <c r="D44" s="35">
        <f>_xlfn.LET(_xlpm.feriados,IF($B44="CO",FER_CO,FER_EC),_xlpm.dias,NETWORKDAYS(Asignaciones!K$3,Asignaciones!K$4,_xlpm.feriados),IF($A44="","",_xlpm.dias*Consultores!$C44))</f>
        <v/>
      </c>
      <c r="E44" s="35">
        <f>_xlfn.LET(_xlpm.feriados,IF($B44="CO",FER_CO,FER_EC),_xlpm.dias,NETWORKDAYS(Asignaciones!L$3,Asignaciones!L$4,_xlpm.feriados),IF($A44="","",_xlpm.dias*Consultores!$C44))</f>
        <v/>
      </c>
      <c r="F44" s="35">
        <f>_xlfn.LET(_xlpm.feriados,IF($B44="CO",FER_CO,FER_EC),_xlpm.dias,NETWORKDAYS(Asignaciones!M$3,Asignaciones!M$4,_xlpm.feriados),IF($A44="","",_xlpm.dias*Consultores!$C44))</f>
        <v/>
      </c>
      <c r="G44" s="35">
        <f>_xlfn.LET(_xlpm.feriados,IF($B44="CO",FER_CO,FER_EC),_xlpm.dias,NETWORKDAYS(Asignaciones!N$3,Asignaciones!N$4,_xlpm.feriados),IF($A44="","",_xlpm.dias*Consultores!$C44))</f>
        <v/>
      </c>
      <c r="H44" s="35">
        <f>_xlfn.LET(_xlpm.feriados,IF($B44="CO",FER_CO,FER_EC),_xlpm.dias,NETWORKDAYS(Asignaciones!O$3,Asignaciones!O$4,_xlpm.feriados),IF($A44="","",_xlpm.dias*Consultores!$C44))</f>
        <v/>
      </c>
      <c r="I44" s="3" t="n"/>
      <c r="J44" s="35">
        <f>IF($A44="","",SUMIFS(Asignaciones!J$6:J$305,Asignaciones!$A$6:$A$305,$A44))</f>
        <v/>
      </c>
      <c r="K44" s="35">
        <f>IF($A44="","",SUMIFS(Asignaciones!K$6:K$305,Asignaciones!$A$6:$A$305,$A44))</f>
        <v/>
      </c>
      <c r="L44" s="35">
        <f>IF($A44="","",SUMIFS(Asignaciones!L$6:L$305,Asignaciones!$A$6:$A$305,$A44))</f>
        <v/>
      </c>
      <c r="M44" s="35">
        <f>IF($A44="","",SUMIFS(Asignaciones!M$6:M$305,Asignaciones!$A$6:$A$305,$A44))</f>
        <v/>
      </c>
      <c r="N44" s="35">
        <f>IF($A44="","",SUMIFS(Asignaciones!N$6:N$305,Asignaciones!$A$6:$A$305,$A44))</f>
        <v/>
      </c>
      <c r="O44" s="35">
        <f>IF($A44="","",SUMIFS(Asignaciones!O$6:O$305,Asignaciones!$A$6:$A$305,$A44))</f>
        <v/>
      </c>
      <c r="P44" s="3" t="n"/>
      <c r="Q44" s="35">
        <f>IF($A44="","",C44-J44)</f>
        <v/>
      </c>
      <c r="R44" s="35">
        <f>IF($A44="","",D44-K44)</f>
        <v/>
      </c>
      <c r="S44" s="35">
        <f>IF($A44="","",E44-L44)</f>
        <v/>
      </c>
      <c r="T44" s="35">
        <f>IF($A44="","",F44-M44)</f>
        <v/>
      </c>
      <c r="U44" s="35">
        <f>IF($A44="","",G44-N44)</f>
        <v/>
      </c>
      <c r="V44" s="35">
        <f>IF($A44="","",H44-O44)</f>
        <v/>
      </c>
    </row>
    <row r="45">
      <c r="A45" s="17">
        <f>IF(Consultores!A45="","",Consultores!A45)</f>
        <v/>
      </c>
      <c r="B45" s="17">
        <f>IF(Consultores!A45="","",Consultores!B45)</f>
        <v/>
      </c>
      <c r="C45" s="35">
        <f>_xlfn.LET(_xlpm.feriados,IF($B45="CO",FER_CO,FER_EC),_xlpm.dias,NETWORKDAYS(Asignaciones!J$3,Asignaciones!J$4,_xlpm.feriados),IF($A45="","",_xlpm.dias*Consultores!$C45))</f>
        <v/>
      </c>
      <c r="D45" s="35">
        <f>_xlfn.LET(_xlpm.feriados,IF($B45="CO",FER_CO,FER_EC),_xlpm.dias,NETWORKDAYS(Asignaciones!K$3,Asignaciones!K$4,_xlpm.feriados),IF($A45="","",_xlpm.dias*Consultores!$C45))</f>
        <v/>
      </c>
      <c r="E45" s="35">
        <f>_xlfn.LET(_xlpm.feriados,IF($B45="CO",FER_CO,FER_EC),_xlpm.dias,NETWORKDAYS(Asignaciones!L$3,Asignaciones!L$4,_xlpm.feriados),IF($A45="","",_xlpm.dias*Consultores!$C45))</f>
        <v/>
      </c>
      <c r="F45" s="35">
        <f>_xlfn.LET(_xlpm.feriados,IF($B45="CO",FER_CO,FER_EC),_xlpm.dias,NETWORKDAYS(Asignaciones!M$3,Asignaciones!M$4,_xlpm.feriados),IF($A45="","",_xlpm.dias*Consultores!$C45))</f>
        <v/>
      </c>
      <c r="G45" s="35">
        <f>_xlfn.LET(_xlpm.feriados,IF($B45="CO",FER_CO,FER_EC),_xlpm.dias,NETWORKDAYS(Asignaciones!N$3,Asignaciones!N$4,_xlpm.feriados),IF($A45="","",_xlpm.dias*Consultores!$C45))</f>
        <v/>
      </c>
      <c r="H45" s="35">
        <f>_xlfn.LET(_xlpm.feriados,IF($B45="CO",FER_CO,FER_EC),_xlpm.dias,NETWORKDAYS(Asignaciones!O$3,Asignaciones!O$4,_xlpm.feriados),IF($A45="","",_xlpm.dias*Consultores!$C45))</f>
        <v/>
      </c>
      <c r="I45" s="3" t="n"/>
      <c r="J45" s="35">
        <f>IF($A45="","",SUMIFS(Asignaciones!J$6:J$305,Asignaciones!$A$6:$A$305,$A45))</f>
        <v/>
      </c>
      <c r="K45" s="35">
        <f>IF($A45="","",SUMIFS(Asignaciones!K$6:K$305,Asignaciones!$A$6:$A$305,$A45))</f>
        <v/>
      </c>
      <c r="L45" s="35">
        <f>IF($A45="","",SUMIFS(Asignaciones!L$6:L$305,Asignaciones!$A$6:$A$305,$A45))</f>
        <v/>
      </c>
      <c r="M45" s="35">
        <f>IF($A45="","",SUMIFS(Asignaciones!M$6:M$305,Asignaciones!$A$6:$A$305,$A45))</f>
        <v/>
      </c>
      <c r="N45" s="35">
        <f>IF($A45="","",SUMIFS(Asignaciones!N$6:N$305,Asignaciones!$A$6:$A$305,$A45))</f>
        <v/>
      </c>
      <c r="O45" s="35">
        <f>IF($A45="","",SUMIFS(Asignaciones!O$6:O$305,Asignaciones!$A$6:$A$305,$A45))</f>
        <v/>
      </c>
      <c r="P45" s="3" t="n"/>
      <c r="Q45" s="35">
        <f>IF($A45="","",C45-J45)</f>
        <v/>
      </c>
      <c r="R45" s="35">
        <f>IF($A45="","",D45-K45)</f>
        <v/>
      </c>
      <c r="S45" s="35">
        <f>IF($A45="","",E45-L45)</f>
        <v/>
      </c>
      <c r="T45" s="35">
        <f>IF($A45="","",F45-M45)</f>
        <v/>
      </c>
      <c r="U45" s="35">
        <f>IF($A45="","",G45-N45)</f>
        <v/>
      </c>
      <c r="V45" s="35">
        <f>IF($A45="","",H45-O45)</f>
        <v/>
      </c>
    </row>
    <row r="46">
      <c r="A46" s="17">
        <f>IF(Consultores!A46="","",Consultores!A46)</f>
        <v/>
      </c>
      <c r="B46" s="17">
        <f>IF(Consultores!A46="","",Consultores!B46)</f>
        <v/>
      </c>
      <c r="C46" s="35">
        <f>_xlfn.LET(_xlpm.feriados,IF($B46="CO",FER_CO,FER_EC),_xlpm.dias,NETWORKDAYS(Asignaciones!J$3,Asignaciones!J$4,_xlpm.feriados),IF($A46="","",_xlpm.dias*Consultores!$C46))</f>
        <v/>
      </c>
      <c r="D46" s="35">
        <f>_xlfn.LET(_xlpm.feriados,IF($B46="CO",FER_CO,FER_EC),_xlpm.dias,NETWORKDAYS(Asignaciones!K$3,Asignaciones!K$4,_xlpm.feriados),IF($A46="","",_xlpm.dias*Consultores!$C46))</f>
        <v/>
      </c>
      <c r="E46" s="35">
        <f>_xlfn.LET(_xlpm.feriados,IF($B46="CO",FER_CO,FER_EC),_xlpm.dias,NETWORKDAYS(Asignaciones!L$3,Asignaciones!L$4,_xlpm.feriados),IF($A46="","",_xlpm.dias*Consultores!$C46))</f>
        <v/>
      </c>
      <c r="F46" s="35">
        <f>_xlfn.LET(_xlpm.feriados,IF($B46="CO",FER_CO,FER_EC),_xlpm.dias,NETWORKDAYS(Asignaciones!M$3,Asignaciones!M$4,_xlpm.feriados),IF($A46="","",_xlpm.dias*Consultores!$C46))</f>
        <v/>
      </c>
      <c r="G46" s="35">
        <f>_xlfn.LET(_xlpm.feriados,IF($B46="CO",FER_CO,FER_EC),_xlpm.dias,NETWORKDAYS(Asignaciones!N$3,Asignaciones!N$4,_xlpm.feriados),IF($A46="","",_xlpm.dias*Consultores!$C46))</f>
        <v/>
      </c>
      <c r="H46" s="35">
        <f>_xlfn.LET(_xlpm.feriados,IF($B46="CO",FER_CO,FER_EC),_xlpm.dias,NETWORKDAYS(Asignaciones!O$3,Asignaciones!O$4,_xlpm.feriados),IF($A46="","",_xlpm.dias*Consultores!$C46))</f>
        <v/>
      </c>
      <c r="I46" s="3" t="n"/>
      <c r="J46" s="35">
        <f>IF($A46="","",SUMIFS(Asignaciones!J$6:J$305,Asignaciones!$A$6:$A$305,$A46))</f>
        <v/>
      </c>
      <c r="K46" s="35">
        <f>IF($A46="","",SUMIFS(Asignaciones!K$6:K$305,Asignaciones!$A$6:$A$305,$A46))</f>
        <v/>
      </c>
      <c r="L46" s="35">
        <f>IF($A46="","",SUMIFS(Asignaciones!L$6:L$305,Asignaciones!$A$6:$A$305,$A46))</f>
        <v/>
      </c>
      <c r="M46" s="35">
        <f>IF($A46="","",SUMIFS(Asignaciones!M$6:M$305,Asignaciones!$A$6:$A$305,$A46))</f>
        <v/>
      </c>
      <c r="N46" s="35">
        <f>IF($A46="","",SUMIFS(Asignaciones!N$6:N$305,Asignaciones!$A$6:$A$305,$A46))</f>
        <v/>
      </c>
      <c r="O46" s="35">
        <f>IF($A46="","",SUMIFS(Asignaciones!O$6:O$305,Asignaciones!$A$6:$A$305,$A46))</f>
        <v/>
      </c>
      <c r="P46" s="3" t="n"/>
      <c r="Q46" s="35">
        <f>IF($A46="","",C46-J46)</f>
        <v/>
      </c>
      <c r="R46" s="35">
        <f>IF($A46="","",D46-K46)</f>
        <v/>
      </c>
      <c r="S46" s="35">
        <f>IF($A46="","",E46-L46)</f>
        <v/>
      </c>
      <c r="T46" s="35">
        <f>IF($A46="","",F46-M46)</f>
        <v/>
      </c>
      <c r="U46" s="35">
        <f>IF($A46="","",G46-N46)</f>
        <v/>
      </c>
      <c r="V46" s="35">
        <f>IF($A46="","",H46-O46)</f>
        <v/>
      </c>
    </row>
    <row r="47">
      <c r="A47" s="17">
        <f>IF(Consultores!A47="","",Consultores!A47)</f>
        <v/>
      </c>
      <c r="B47" s="17">
        <f>IF(Consultores!A47="","",Consultores!B47)</f>
        <v/>
      </c>
      <c r="C47" s="35">
        <f>_xlfn.LET(_xlpm.feriados,IF($B47="CO",FER_CO,FER_EC),_xlpm.dias,NETWORKDAYS(Asignaciones!J$3,Asignaciones!J$4,_xlpm.feriados),IF($A47="","",_xlpm.dias*Consultores!$C47))</f>
        <v/>
      </c>
      <c r="D47" s="35">
        <f>_xlfn.LET(_xlpm.feriados,IF($B47="CO",FER_CO,FER_EC),_xlpm.dias,NETWORKDAYS(Asignaciones!K$3,Asignaciones!K$4,_xlpm.feriados),IF($A47="","",_xlpm.dias*Consultores!$C47))</f>
        <v/>
      </c>
      <c r="E47" s="35">
        <f>_xlfn.LET(_xlpm.feriados,IF($B47="CO",FER_CO,FER_EC),_xlpm.dias,NETWORKDAYS(Asignaciones!L$3,Asignaciones!L$4,_xlpm.feriados),IF($A47="","",_xlpm.dias*Consultores!$C47))</f>
        <v/>
      </c>
      <c r="F47" s="35">
        <f>_xlfn.LET(_xlpm.feriados,IF($B47="CO",FER_CO,FER_EC),_xlpm.dias,NETWORKDAYS(Asignaciones!M$3,Asignaciones!M$4,_xlpm.feriados),IF($A47="","",_xlpm.dias*Consultores!$C47))</f>
        <v/>
      </c>
      <c r="G47" s="35">
        <f>_xlfn.LET(_xlpm.feriados,IF($B47="CO",FER_CO,FER_EC),_xlpm.dias,NETWORKDAYS(Asignaciones!N$3,Asignaciones!N$4,_xlpm.feriados),IF($A47="","",_xlpm.dias*Consultores!$C47))</f>
        <v/>
      </c>
      <c r="H47" s="35">
        <f>_xlfn.LET(_xlpm.feriados,IF($B47="CO",FER_CO,FER_EC),_xlpm.dias,NETWORKDAYS(Asignaciones!O$3,Asignaciones!O$4,_xlpm.feriados),IF($A47="","",_xlpm.dias*Consultores!$C47))</f>
        <v/>
      </c>
      <c r="I47" s="3" t="n"/>
      <c r="J47" s="35">
        <f>IF($A47="","",SUMIFS(Asignaciones!J$6:J$305,Asignaciones!$A$6:$A$305,$A47))</f>
        <v/>
      </c>
      <c r="K47" s="35">
        <f>IF($A47="","",SUMIFS(Asignaciones!K$6:K$305,Asignaciones!$A$6:$A$305,$A47))</f>
        <v/>
      </c>
      <c r="L47" s="35">
        <f>IF($A47="","",SUMIFS(Asignaciones!L$6:L$305,Asignaciones!$A$6:$A$305,$A47))</f>
        <v/>
      </c>
      <c r="M47" s="35">
        <f>IF($A47="","",SUMIFS(Asignaciones!M$6:M$305,Asignaciones!$A$6:$A$305,$A47))</f>
        <v/>
      </c>
      <c r="N47" s="35">
        <f>IF($A47="","",SUMIFS(Asignaciones!N$6:N$305,Asignaciones!$A$6:$A$305,$A47))</f>
        <v/>
      </c>
      <c r="O47" s="35">
        <f>IF($A47="","",SUMIFS(Asignaciones!O$6:O$305,Asignaciones!$A$6:$A$305,$A47))</f>
        <v/>
      </c>
      <c r="P47" s="3" t="n"/>
      <c r="Q47" s="35">
        <f>IF($A47="","",C47-J47)</f>
        <v/>
      </c>
      <c r="R47" s="35">
        <f>IF($A47="","",D47-K47)</f>
        <v/>
      </c>
      <c r="S47" s="35">
        <f>IF($A47="","",E47-L47)</f>
        <v/>
      </c>
      <c r="T47" s="35">
        <f>IF($A47="","",F47-M47)</f>
        <v/>
      </c>
      <c r="U47" s="35">
        <f>IF($A47="","",G47-N47)</f>
        <v/>
      </c>
      <c r="V47" s="35">
        <f>IF($A47="","",H47-O47)</f>
        <v/>
      </c>
    </row>
    <row r="48">
      <c r="A48" s="17">
        <f>IF(Consultores!A48="","",Consultores!A48)</f>
        <v/>
      </c>
      <c r="B48" s="17">
        <f>IF(Consultores!A48="","",Consultores!B48)</f>
        <v/>
      </c>
      <c r="C48" s="35">
        <f>_xlfn.LET(_xlpm.feriados,IF($B48="CO",FER_CO,FER_EC),_xlpm.dias,NETWORKDAYS(Asignaciones!J$3,Asignaciones!J$4,_xlpm.feriados),IF($A48="","",_xlpm.dias*Consultores!$C48))</f>
        <v/>
      </c>
      <c r="D48" s="35">
        <f>_xlfn.LET(_xlpm.feriados,IF($B48="CO",FER_CO,FER_EC),_xlpm.dias,NETWORKDAYS(Asignaciones!K$3,Asignaciones!K$4,_xlpm.feriados),IF($A48="","",_xlpm.dias*Consultores!$C48))</f>
        <v/>
      </c>
      <c r="E48" s="35">
        <f>_xlfn.LET(_xlpm.feriados,IF($B48="CO",FER_CO,FER_EC),_xlpm.dias,NETWORKDAYS(Asignaciones!L$3,Asignaciones!L$4,_xlpm.feriados),IF($A48="","",_xlpm.dias*Consultores!$C48))</f>
        <v/>
      </c>
      <c r="F48" s="35">
        <f>_xlfn.LET(_xlpm.feriados,IF($B48="CO",FER_CO,FER_EC),_xlpm.dias,NETWORKDAYS(Asignaciones!M$3,Asignaciones!M$4,_xlpm.feriados),IF($A48="","",_xlpm.dias*Consultores!$C48))</f>
        <v/>
      </c>
      <c r="G48" s="35">
        <f>_xlfn.LET(_xlpm.feriados,IF($B48="CO",FER_CO,FER_EC),_xlpm.dias,NETWORKDAYS(Asignaciones!N$3,Asignaciones!N$4,_xlpm.feriados),IF($A48="","",_xlpm.dias*Consultores!$C48))</f>
        <v/>
      </c>
      <c r="H48" s="35">
        <f>_xlfn.LET(_xlpm.feriados,IF($B48="CO",FER_CO,FER_EC),_xlpm.dias,NETWORKDAYS(Asignaciones!O$3,Asignaciones!O$4,_xlpm.feriados),IF($A48="","",_xlpm.dias*Consultores!$C48))</f>
        <v/>
      </c>
      <c r="I48" s="3" t="n"/>
      <c r="J48" s="35">
        <f>IF($A48="","",SUMIFS(Asignaciones!J$6:J$305,Asignaciones!$A$6:$A$305,$A48))</f>
        <v/>
      </c>
      <c r="K48" s="35">
        <f>IF($A48="","",SUMIFS(Asignaciones!K$6:K$305,Asignaciones!$A$6:$A$305,$A48))</f>
        <v/>
      </c>
      <c r="L48" s="35">
        <f>IF($A48="","",SUMIFS(Asignaciones!L$6:L$305,Asignaciones!$A$6:$A$305,$A48))</f>
        <v/>
      </c>
      <c r="M48" s="35">
        <f>IF($A48="","",SUMIFS(Asignaciones!M$6:M$305,Asignaciones!$A$6:$A$305,$A48))</f>
        <v/>
      </c>
      <c r="N48" s="35">
        <f>IF($A48="","",SUMIFS(Asignaciones!N$6:N$305,Asignaciones!$A$6:$A$305,$A48))</f>
        <v/>
      </c>
      <c r="O48" s="35">
        <f>IF($A48="","",SUMIFS(Asignaciones!O$6:O$305,Asignaciones!$A$6:$A$305,$A48))</f>
        <v/>
      </c>
      <c r="P48" s="3" t="n"/>
      <c r="Q48" s="35">
        <f>IF($A48="","",C48-J48)</f>
        <v/>
      </c>
      <c r="R48" s="35">
        <f>IF($A48="","",D48-K48)</f>
        <v/>
      </c>
      <c r="S48" s="35">
        <f>IF($A48="","",E48-L48)</f>
        <v/>
      </c>
      <c r="T48" s="35">
        <f>IF($A48="","",F48-M48)</f>
        <v/>
      </c>
      <c r="U48" s="35">
        <f>IF($A48="","",G48-N48)</f>
        <v/>
      </c>
      <c r="V48" s="35">
        <f>IF($A48="","",H48-O48)</f>
        <v/>
      </c>
    </row>
    <row r="49">
      <c r="A49" s="17">
        <f>IF(Consultores!A49="","",Consultores!A49)</f>
        <v/>
      </c>
      <c r="B49" s="17">
        <f>IF(Consultores!A49="","",Consultores!B49)</f>
        <v/>
      </c>
      <c r="C49" s="35">
        <f>_xlfn.LET(_xlpm.feriados,IF($B49="CO",FER_CO,FER_EC),_xlpm.dias,NETWORKDAYS(Asignaciones!J$3,Asignaciones!J$4,_xlpm.feriados),IF($A49="","",_xlpm.dias*Consultores!$C49))</f>
        <v/>
      </c>
      <c r="D49" s="35">
        <f>_xlfn.LET(_xlpm.feriados,IF($B49="CO",FER_CO,FER_EC),_xlpm.dias,NETWORKDAYS(Asignaciones!K$3,Asignaciones!K$4,_xlpm.feriados),IF($A49="","",_xlpm.dias*Consultores!$C49))</f>
        <v/>
      </c>
      <c r="E49" s="35">
        <f>_xlfn.LET(_xlpm.feriados,IF($B49="CO",FER_CO,FER_EC),_xlpm.dias,NETWORKDAYS(Asignaciones!L$3,Asignaciones!L$4,_xlpm.feriados),IF($A49="","",_xlpm.dias*Consultores!$C49))</f>
        <v/>
      </c>
      <c r="F49" s="35">
        <f>_xlfn.LET(_xlpm.feriados,IF($B49="CO",FER_CO,FER_EC),_xlpm.dias,NETWORKDAYS(Asignaciones!M$3,Asignaciones!M$4,_xlpm.feriados),IF($A49="","",_xlpm.dias*Consultores!$C49))</f>
        <v/>
      </c>
      <c r="G49" s="35">
        <f>_xlfn.LET(_xlpm.feriados,IF($B49="CO",FER_CO,FER_EC),_xlpm.dias,NETWORKDAYS(Asignaciones!N$3,Asignaciones!N$4,_xlpm.feriados),IF($A49="","",_xlpm.dias*Consultores!$C49))</f>
        <v/>
      </c>
      <c r="H49" s="35">
        <f>_xlfn.LET(_xlpm.feriados,IF($B49="CO",FER_CO,FER_EC),_xlpm.dias,NETWORKDAYS(Asignaciones!O$3,Asignaciones!O$4,_xlpm.feriados),IF($A49="","",_xlpm.dias*Consultores!$C49))</f>
        <v/>
      </c>
      <c r="I49" s="3" t="n"/>
      <c r="J49" s="35">
        <f>IF($A49="","",SUMIFS(Asignaciones!J$6:J$305,Asignaciones!$A$6:$A$305,$A49))</f>
        <v/>
      </c>
      <c r="K49" s="35">
        <f>IF($A49="","",SUMIFS(Asignaciones!K$6:K$305,Asignaciones!$A$6:$A$305,$A49))</f>
        <v/>
      </c>
      <c r="L49" s="35">
        <f>IF($A49="","",SUMIFS(Asignaciones!L$6:L$305,Asignaciones!$A$6:$A$305,$A49))</f>
        <v/>
      </c>
      <c r="M49" s="35">
        <f>IF($A49="","",SUMIFS(Asignaciones!M$6:M$305,Asignaciones!$A$6:$A$305,$A49))</f>
        <v/>
      </c>
      <c r="N49" s="35">
        <f>IF($A49="","",SUMIFS(Asignaciones!N$6:N$305,Asignaciones!$A$6:$A$305,$A49))</f>
        <v/>
      </c>
      <c r="O49" s="35">
        <f>IF($A49="","",SUMIFS(Asignaciones!O$6:O$305,Asignaciones!$A$6:$A$305,$A49))</f>
        <v/>
      </c>
      <c r="P49" s="3" t="n"/>
      <c r="Q49" s="35">
        <f>IF($A49="","",C49-J49)</f>
        <v/>
      </c>
      <c r="R49" s="35">
        <f>IF($A49="","",D49-K49)</f>
        <v/>
      </c>
      <c r="S49" s="35">
        <f>IF($A49="","",E49-L49)</f>
        <v/>
      </c>
      <c r="T49" s="35">
        <f>IF($A49="","",F49-M49)</f>
        <v/>
      </c>
      <c r="U49" s="35">
        <f>IF($A49="","",G49-N49)</f>
        <v/>
      </c>
      <c r="V49" s="35">
        <f>IF($A49="","",H49-O49)</f>
        <v/>
      </c>
    </row>
    <row r="50">
      <c r="A50" s="17">
        <f>IF(Consultores!A50="","",Consultores!A50)</f>
        <v/>
      </c>
      <c r="B50" s="17">
        <f>IF(Consultores!A50="","",Consultores!B50)</f>
        <v/>
      </c>
      <c r="C50" s="35">
        <f>_xlfn.LET(_xlpm.feriados,IF($B50="CO",FER_CO,FER_EC),_xlpm.dias,NETWORKDAYS(Asignaciones!J$3,Asignaciones!J$4,_xlpm.feriados),IF($A50="","",_xlpm.dias*Consultores!$C50))</f>
        <v/>
      </c>
      <c r="D50" s="35">
        <f>_xlfn.LET(_xlpm.feriados,IF($B50="CO",FER_CO,FER_EC),_xlpm.dias,NETWORKDAYS(Asignaciones!K$3,Asignaciones!K$4,_xlpm.feriados),IF($A50="","",_xlpm.dias*Consultores!$C50))</f>
        <v/>
      </c>
      <c r="E50" s="35">
        <f>_xlfn.LET(_xlpm.feriados,IF($B50="CO",FER_CO,FER_EC),_xlpm.dias,NETWORKDAYS(Asignaciones!L$3,Asignaciones!L$4,_xlpm.feriados),IF($A50="","",_xlpm.dias*Consultores!$C50))</f>
        <v/>
      </c>
      <c r="F50" s="35">
        <f>_xlfn.LET(_xlpm.feriados,IF($B50="CO",FER_CO,FER_EC),_xlpm.dias,NETWORKDAYS(Asignaciones!M$3,Asignaciones!M$4,_xlpm.feriados),IF($A50="","",_xlpm.dias*Consultores!$C50))</f>
        <v/>
      </c>
      <c r="G50" s="35">
        <f>_xlfn.LET(_xlpm.feriados,IF($B50="CO",FER_CO,FER_EC),_xlpm.dias,NETWORKDAYS(Asignaciones!N$3,Asignaciones!N$4,_xlpm.feriados),IF($A50="","",_xlpm.dias*Consultores!$C50))</f>
        <v/>
      </c>
      <c r="H50" s="35">
        <f>_xlfn.LET(_xlpm.feriados,IF($B50="CO",FER_CO,FER_EC),_xlpm.dias,NETWORKDAYS(Asignaciones!O$3,Asignaciones!O$4,_xlpm.feriados),IF($A50="","",_xlpm.dias*Consultores!$C50))</f>
        <v/>
      </c>
      <c r="I50" s="3" t="n"/>
      <c r="J50" s="35">
        <f>IF($A50="","",SUMIFS(Asignaciones!J$6:J$305,Asignaciones!$A$6:$A$305,$A50))</f>
        <v/>
      </c>
      <c r="K50" s="35">
        <f>IF($A50="","",SUMIFS(Asignaciones!K$6:K$305,Asignaciones!$A$6:$A$305,$A50))</f>
        <v/>
      </c>
      <c r="L50" s="35">
        <f>IF($A50="","",SUMIFS(Asignaciones!L$6:L$305,Asignaciones!$A$6:$A$305,$A50))</f>
        <v/>
      </c>
      <c r="M50" s="35">
        <f>IF($A50="","",SUMIFS(Asignaciones!M$6:M$305,Asignaciones!$A$6:$A$305,$A50))</f>
        <v/>
      </c>
      <c r="N50" s="35">
        <f>IF($A50="","",SUMIFS(Asignaciones!N$6:N$305,Asignaciones!$A$6:$A$305,$A50))</f>
        <v/>
      </c>
      <c r="O50" s="35">
        <f>IF($A50="","",SUMIFS(Asignaciones!O$6:O$305,Asignaciones!$A$6:$A$305,$A50))</f>
        <v/>
      </c>
      <c r="P50" s="3" t="n"/>
      <c r="Q50" s="35">
        <f>IF($A50="","",C50-J50)</f>
        <v/>
      </c>
      <c r="R50" s="35">
        <f>IF($A50="","",D50-K50)</f>
        <v/>
      </c>
      <c r="S50" s="35">
        <f>IF($A50="","",E50-L50)</f>
        <v/>
      </c>
      <c r="T50" s="35">
        <f>IF($A50="","",F50-M50)</f>
        <v/>
      </c>
      <c r="U50" s="35">
        <f>IF($A50="","",G50-N50)</f>
        <v/>
      </c>
      <c r="V50" s="35">
        <f>IF($A50="","",H50-O50)</f>
        <v/>
      </c>
    </row>
    <row r="51">
      <c r="A51" s="17">
        <f>IF(Consultores!A51="","",Consultores!A51)</f>
        <v/>
      </c>
      <c r="B51" s="17">
        <f>IF(Consultores!A51="","",Consultores!B51)</f>
        <v/>
      </c>
      <c r="C51" s="35">
        <f>_xlfn.LET(_xlpm.feriados,IF($B51="CO",FER_CO,FER_EC),_xlpm.dias,NETWORKDAYS(Asignaciones!J$3,Asignaciones!J$4,_xlpm.feriados),IF($A51="","",_xlpm.dias*Consultores!$C51))</f>
        <v/>
      </c>
      <c r="D51" s="35">
        <f>_xlfn.LET(_xlpm.feriados,IF($B51="CO",FER_CO,FER_EC),_xlpm.dias,NETWORKDAYS(Asignaciones!K$3,Asignaciones!K$4,_xlpm.feriados),IF($A51="","",_xlpm.dias*Consultores!$C51))</f>
        <v/>
      </c>
      <c r="E51" s="35">
        <f>_xlfn.LET(_xlpm.feriados,IF($B51="CO",FER_CO,FER_EC),_xlpm.dias,NETWORKDAYS(Asignaciones!L$3,Asignaciones!L$4,_xlpm.feriados),IF($A51="","",_xlpm.dias*Consultores!$C51))</f>
        <v/>
      </c>
      <c r="F51" s="35">
        <f>_xlfn.LET(_xlpm.feriados,IF($B51="CO",FER_CO,FER_EC),_xlpm.dias,NETWORKDAYS(Asignaciones!M$3,Asignaciones!M$4,_xlpm.feriados),IF($A51="","",_xlpm.dias*Consultores!$C51))</f>
        <v/>
      </c>
      <c r="G51" s="35">
        <f>_xlfn.LET(_xlpm.feriados,IF($B51="CO",FER_CO,FER_EC),_xlpm.dias,NETWORKDAYS(Asignaciones!N$3,Asignaciones!N$4,_xlpm.feriados),IF($A51="","",_xlpm.dias*Consultores!$C51))</f>
        <v/>
      </c>
      <c r="H51" s="35">
        <f>_xlfn.LET(_xlpm.feriados,IF($B51="CO",FER_CO,FER_EC),_xlpm.dias,NETWORKDAYS(Asignaciones!O$3,Asignaciones!O$4,_xlpm.feriados),IF($A51="","",_xlpm.dias*Consultores!$C51))</f>
        <v/>
      </c>
      <c r="I51" s="3" t="n"/>
      <c r="J51" s="35">
        <f>IF($A51="","",SUMIFS(Asignaciones!J$6:J$305,Asignaciones!$A$6:$A$305,$A51))</f>
        <v/>
      </c>
      <c r="K51" s="35">
        <f>IF($A51="","",SUMIFS(Asignaciones!K$6:K$305,Asignaciones!$A$6:$A$305,$A51))</f>
        <v/>
      </c>
      <c r="L51" s="35">
        <f>IF($A51="","",SUMIFS(Asignaciones!L$6:L$305,Asignaciones!$A$6:$A$305,$A51))</f>
        <v/>
      </c>
      <c r="M51" s="35">
        <f>IF($A51="","",SUMIFS(Asignaciones!M$6:M$305,Asignaciones!$A$6:$A$305,$A51))</f>
        <v/>
      </c>
      <c r="N51" s="35">
        <f>IF($A51="","",SUMIFS(Asignaciones!N$6:N$305,Asignaciones!$A$6:$A$305,$A51))</f>
        <v/>
      </c>
      <c r="O51" s="35">
        <f>IF($A51="","",SUMIFS(Asignaciones!O$6:O$305,Asignaciones!$A$6:$A$305,$A51))</f>
        <v/>
      </c>
      <c r="P51" s="3" t="n"/>
      <c r="Q51" s="35">
        <f>IF($A51="","",C51-J51)</f>
        <v/>
      </c>
      <c r="R51" s="35">
        <f>IF($A51="","",D51-K51)</f>
        <v/>
      </c>
      <c r="S51" s="35">
        <f>IF($A51="","",E51-L51)</f>
        <v/>
      </c>
      <c r="T51" s="35">
        <f>IF($A51="","",F51-M51)</f>
        <v/>
      </c>
      <c r="U51" s="35">
        <f>IF($A51="","",G51-N51)</f>
        <v/>
      </c>
      <c r="V51" s="35">
        <f>IF($A51="","",H51-O51)</f>
        <v/>
      </c>
    </row>
    <row r="52">
      <c r="A52" s="17">
        <f>IF(Consultores!A52="","",Consultores!A52)</f>
        <v/>
      </c>
      <c r="B52" s="17">
        <f>IF(Consultores!A52="","",Consultores!B52)</f>
        <v/>
      </c>
      <c r="C52" s="35">
        <f>_xlfn.LET(_xlpm.feriados,IF($B52="CO",FER_CO,FER_EC),_xlpm.dias,NETWORKDAYS(Asignaciones!J$3,Asignaciones!J$4,_xlpm.feriados),IF($A52="","",_xlpm.dias*Consultores!$C52))</f>
        <v/>
      </c>
      <c r="D52" s="35">
        <f>_xlfn.LET(_xlpm.feriados,IF($B52="CO",FER_CO,FER_EC),_xlpm.dias,NETWORKDAYS(Asignaciones!K$3,Asignaciones!K$4,_xlpm.feriados),IF($A52="","",_xlpm.dias*Consultores!$C52))</f>
        <v/>
      </c>
      <c r="E52" s="35">
        <f>_xlfn.LET(_xlpm.feriados,IF($B52="CO",FER_CO,FER_EC),_xlpm.dias,NETWORKDAYS(Asignaciones!L$3,Asignaciones!L$4,_xlpm.feriados),IF($A52="","",_xlpm.dias*Consultores!$C52))</f>
        <v/>
      </c>
      <c r="F52" s="35">
        <f>_xlfn.LET(_xlpm.feriados,IF($B52="CO",FER_CO,FER_EC),_xlpm.dias,NETWORKDAYS(Asignaciones!M$3,Asignaciones!M$4,_xlpm.feriados),IF($A52="","",_xlpm.dias*Consultores!$C52))</f>
        <v/>
      </c>
      <c r="G52" s="35">
        <f>_xlfn.LET(_xlpm.feriados,IF($B52="CO",FER_CO,FER_EC),_xlpm.dias,NETWORKDAYS(Asignaciones!N$3,Asignaciones!N$4,_xlpm.feriados),IF($A52="","",_xlpm.dias*Consultores!$C52))</f>
        <v/>
      </c>
      <c r="H52" s="35">
        <f>_xlfn.LET(_xlpm.feriados,IF($B52="CO",FER_CO,FER_EC),_xlpm.dias,NETWORKDAYS(Asignaciones!O$3,Asignaciones!O$4,_xlpm.feriados),IF($A52="","",_xlpm.dias*Consultores!$C52))</f>
        <v/>
      </c>
      <c r="I52" s="3" t="n"/>
      <c r="J52" s="35">
        <f>IF($A52="","",SUMIFS(Asignaciones!J$6:J$305,Asignaciones!$A$6:$A$305,$A52))</f>
        <v/>
      </c>
      <c r="K52" s="35">
        <f>IF($A52="","",SUMIFS(Asignaciones!K$6:K$305,Asignaciones!$A$6:$A$305,$A52))</f>
        <v/>
      </c>
      <c r="L52" s="35">
        <f>IF($A52="","",SUMIFS(Asignaciones!L$6:L$305,Asignaciones!$A$6:$A$305,$A52))</f>
        <v/>
      </c>
      <c r="M52" s="35">
        <f>IF($A52="","",SUMIFS(Asignaciones!M$6:M$305,Asignaciones!$A$6:$A$305,$A52))</f>
        <v/>
      </c>
      <c r="N52" s="35">
        <f>IF($A52="","",SUMIFS(Asignaciones!N$6:N$305,Asignaciones!$A$6:$A$305,$A52))</f>
        <v/>
      </c>
      <c r="O52" s="35">
        <f>IF($A52="","",SUMIFS(Asignaciones!O$6:O$305,Asignaciones!$A$6:$A$305,$A52))</f>
        <v/>
      </c>
      <c r="P52" s="3" t="n"/>
      <c r="Q52" s="35">
        <f>IF($A52="","",C52-J52)</f>
        <v/>
      </c>
      <c r="R52" s="35">
        <f>IF($A52="","",D52-K52)</f>
        <v/>
      </c>
      <c r="S52" s="35">
        <f>IF($A52="","",E52-L52)</f>
        <v/>
      </c>
      <c r="T52" s="35">
        <f>IF($A52="","",F52-M52)</f>
        <v/>
      </c>
      <c r="U52" s="35">
        <f>IF($A52="","",G52-N52)</f>
        <v/>
      </c>
      <c r="V52" s="35">
        <f>IF($A52="","",H52-O52)</f>
        <v/>
      </c>
    </row>
    <row r="53">
      <c r="A53" s="17">
        <f>IF(Consultores!A53="","",Consultores!A53)</f>
        <v/>
      </c>
      <c r="B53" s="17">
        <f>IF(Consultores!A53="","",Consultores!B53)</f>
        <v/>
      </c>
      <c r="C53" s="35">
        <f>_xlfn.LET(_xlpm.feriados,IF($B53="CO",FER_CO,FER_EC),_xlpm.dias,NETWORKDAYS(Asignaciones!J$3,Asignaciones!J$4,_xlpm.feriados),IF($A53="","",_xlpm.dias*Consultores!$C53))</f>
        <v/>
      </c>
      <c r="D53" s="35">
        <f>_xlfn.LET(_xlpm.feriados,IF($B53="CO",FER_CO,FER_EC),_xlpm.dias,NETWORKDAYS(Asignaciones!K$3,Asignaciones!K$4,_xlpm.feriados),IF($A53="","",_xlpm.dias*Consultores!$C53))</f>
        <v/>
      </c>
      <c r="E53" s="35">
        <f>_xlfn.LET(_xlpm.feriados,IF($B53="CO",FER_CO,FER_EC),_xlpm.dias,NETWORKDAYS(Asignaciones!L$3,Asignaciones!L$4,_xlpm.feriados),IF($A53="","",_xlpm.dias*Consultores!$C53))</f>
        <v/>
      </c>
      <c r="F53" s="35">
        <f>_xlfn.LET(_xlpm.feriados,IF($B53="CO",FER_CO,FER_EC),_xlpm.dias,NETWORKDAYS(Asignaciones!M$3,Asignaciones!M$4,_xlpm.feriados),IF($A53="","",_xlpm.dias*Consultores!$C53))</f>
        <v/>
      </c>
      <c r="G53" s="35">
        <f>_xlfn.LET(_xlpm.feriados,IF($B53="CO",FER_CO,FER_EC),_xlpm.dias,NETWORKDAYS(Asignaciones!N$3,Asignaciones!N$4,_xlpm.feriados),IF($A53="","",_xlpm.dias*Consultores!$C53))</f>
        <v/>
      </c>
      <c r="H53" s="35">
        <f>_xlfn.LET(_xlpm.feriados,IF($B53="CO",FER_CO,FER_EC),_xlpm.dias,NETWORKDAYS(Asignaciones!O$3,Asignaciones!O$4,_xlpm.feriados),IF($A53="","",_xlpm.dias*Consultores!$C53))</f>
        <v/>
      </c>
      <c r="I53" s="3" t="n"/>
      <c r="J53" s="35">
        <f>IF($A53="","",SUMIFS(Asignaciones!J$6:J$305,Asignaciones!$A$6:$A$305,$A53))</f>
        <v/>
      </c>
      <c r="K53" s="35">
        <f>IF($A53="","",SUMIFS(Asignaciones!K$6:K$305,Asignaciones!$A$6:$A$305,$A53))</f>
        <v/>
      </c>
      <c r="L53" s="35">
        <f>IF($A53="","",SUMIFS(Asignaciones!L$6:L$305,Asignaciones!$A$6:$A$305,$A53))</f>
        <v/>
      </c>
      <c r="M53" s="35">
        <f>IF($A53="","",SUMIFS(Asignaciones!M$6:M$305,Asignaciones!$A$6:$A$305,$A53))</f>
        <v/>
      </c>
      <c r="N53" s="35">
        <f>IF($A53="","",SUMIFS(Asignaciones!N$6:N$305,Asignaciones!$A$6:$A$305,$A53))</f>
        <v/>
      </c>
      <c r="O53" s="35">
        <f>IF($A53="","",SUMIFS(Asignaciones!O$6:O$305,Asignaciones!$A$6:$A$305,$A53))</f>
        <v/>
      </c>
      <c r="P53" s="3" t="n"/>
      <c r="Q53" s="35">
        <f>IF($A53="","",C53-J53)</f>
        <v/>
      </c>
      <c r="R53" s="35">
        <f>IF($A53="","",D53-K53)</f>
        <v/>
      </c>
      <c r="S53" s="35">
        <f>IF($A53="","",E53-L53)</f>
        <v/>
      </c>
      <c r="T53" s="35">
        <f>IF($A53="","",F53-M53)</f>
        <v/>
      </c>
      <c r="U53" s="35">
        <f>IF($A53="","",G53-N53)</f>
        <v/>
      </c>
      <c r="V53" s="35">
        <f>IF($A53="","",H53-O53)</f>
        <v/>
      </c>
    </row>
    <row r="54">
      <c r="A54" s="17">
        <f>IF(Consultores!A54="","",Consultores!A54)</f>
        <v/>
      </c>
      <c r="B54" s="17">
        <f>IF(Consultores!A54="","",Consultores!B54)</f>
        <v/>
      </c>
      <c r="C54" s="35">
        <f>_xlfn.LET(_xlpm.feriados,IF($B54="CO",FER_CO,FER_EC),_xlpm.dias,NETWORKDAYS(Asignaciones!J$3,Asignaciones!J$4,_xlpm.feriados),IF($A54="","",_xlpm.dias*Consultores!$C54))</f>
        <v/>
      </c>
      <c r="D54" s="35">
        <f>_xlfn.LET(_xlpm.feriados,IF($B54="CO",FER_CO,FER_EC),_xlpm.dias,NETWORKDAYS(Asignaciones!K$3,Asignaciones!K$4,_xlpm.feriados),IF($A54="","",_xlpm.dias*Consultores!$C54))</f>
        <v/>
      </c>
      <c r="E54" s="35">
        <f>_xlfn.LET(_xlpm.feriados,IF($B54="CO",FER_CO,FER_EC),_xlpm.dias,NETWORKDAYS(Asignaciones!L$3,Asignaciones!L$4,_xlpm.feriados),IF($A54="","",_xlpm.dias*Consultores!$C54))</f>
        <v/>
      </c>
      <c r="F54" s="35">
        <f>_xlfn.LET(_xlpm.feriados,IF($B54="CO",FER_CO,FER_EC),_xlpm.dias,NETWORKDAYS(Asignaciones!M$3,Asignaciones!M$4,_xlpm.feriados),IF($A54="","",_xlpm.dias*Consultores!$C54))</f>
        <v/>
      </c>
      <c r="G54" s="35">
        <f>_xlfn.LET(_xlpm.feriados,IF($B54="CO",FER_CO,FER_EC),_xlpm.dias,NETWORKDAYS(Asignaciones!N$3,Asignaciones!N$4,_xlpm.feriados),IF($A54="","",_xlpm.dias*Consultores!$C54))</f>
        <v/>
      </c>
      <c r="H54" s="35">
        <f>_xlfn.LET(_xlpm.feriados,IF($B54="CO",FER_CO,FER_EC),_xlpm.dias,NETWORKDAYS(Asignaciones!O$3,Asignaciones!O$4,_xlpm.feriados),IF($A54="","",_xlpm.dias*Consultores!$C54))</f>
        <v/>
      </c>
      <c r="I54" s="3" t="n"/>
      <c r="J54" s="35">
        <f>IF($A54="","",SUMIFS(Asignaciones!J$6:J$305,Asignaciones!$A$6:$A$305,$A54))</f>
        <v/>
      </c>
      <c r="K54" s="35">
        <f>IF($A54="","",SUMIFS(Asignaciones!K$6:K$305,Asignaciones!$A$6:$A$305,$A54))</f>
        <v/>
      </c>
      <c r="L54" s="35">
        <f>IF($A54="","",SUMIFS(Asignaciones!L$6:L$305,Asignaciones!$A$6:$A$305,$A54))</f>
        <v/>
      </c>
      <c r="M54" s="35">
        <f>IF($A54="","",SUMIFS(Asignaciones!M$6:M$305,Asignaciones!$A$6:$A$305,$A54))</f>
        <v/>
      </c>
      <c r="N54" s="35">
        <f>IF($A54="","",SUMIFS(Asignaciones!N$6:N$305,Asignaciones!$A$6:$A$305,$A54))</f>
        <v/>
      </c>
      <c r="O54" s="35">
        <f>IF($A54="","",SUMIFS(Asignaciones!O$6:O$305,Asignaciones!$A$6:$A$305,$A54))</f>
        <v/>
      </c>
      <c r="P54" s="3" t="n"/>
      <c r="Q54" s="35">
        <f>IF($A54="","",C54-J54)</f>
        <v/>
      </c>
      <c r="R54" s="35">
        <f>IF($A54="","",D54-K54)</f>
        <v/>
      </c>
      <c r="S54" s="35">
        <f>IF($A54="","",E54-L54)</f>
        <v/>
      </c>
      <c r="T54" s="35">
        <f>IF($A54="","",F54-M54)</f>
        <v/>
      </c>
      <c r="U54" s="35">
        <f>IF($A54="","",G54-N54)</f>
        <v/>
      </c>
      <c r="V54" s="35">
        <f>IF($A54="","",H54-O54)</f>
        <v/>
      </c>
    </row>
    <row r="55">
      <c r="A55" s="17">
        <f>IF(Consultores!A55="","",Consultores!A55)</f>
        <v/>
      </c>
      <c r="B55" s="17">
        <f>IF(Consultores!A55="","",Consultores!B55)</f>
        <v/>
      </c>
      <c r="C55" s="35">
        <f>_xlfn.LET(_xlpm.feriados,IF($B55="CO",FER_CO,FER_EC),_xlpm.dias,NETWORKDAYS(Asignaciones!J$3,Asignaciones!J$4,_xlpm.feriados),IF($A55="","",_xlpm.dias*Consultores!$C55))</f>
        <v/>
      </c>
      <c r="D55" s="35">
        <f>_xlfn.LET(_xlpm.feriados,IF($B55="CO",FER_CO,FER_EC),_xlpm.dias,NETWORKDAYS(Asignaciones!K$3,Asignaciones!K$4,_xlpm.feriados),IF($A55="","",_xlpm.dias*Consultores!$C55))</f>
        <v/>
      </c>
      <c r="E55" s="35">
        <f>_xlfn.LET(_xlpm.feriados,IF($B55="CO",FER_CO,FER_EC),_xlpm.dias,NETWORKDAYS(Asignaciones!L$3,Asignaciones!L$4,_xlpm.feriados),IF($A55="","",_xlpm.dias*Consultores!$C55))</f>
        <v/>
      </c>
      <c r="F55" s="35">
        <f>_xlfn.LET(_xlpm.feriados,IF($B55="CO",FER_CO,FER_EC),_xlpm.dias,NETWORKDAYS(Asignaciones!M$3,Asignaciones!M$4,_xlpm.feriados),IF($A55="","",_xlpm.dias*Consultores!$C55))</f>
        <v/>
      </c>
      <c r="G55" s="35">
        <f>_xlfn.LET(_xlpm.feriados,IF($B55="CO",FER_CO,FER_EC),_xlpm.dias,NETWORKDAYS(Asignaciones!N$3,Asignaciones!N$4,_xlpm.feriados),IF($A55="","",_xlpm.dias*Consultores!$C55))</f>
        <v/>
      </c>
      <c r="H55" s="35">
        <f>_xlfn.LET(_xlpm.feriados,IF($B55="CO",FER_CO,FER_EC),_xlpm.dias,NETWORKDAYS(Asignaciones!O$3,Asignaciones!O$4,_xlpm.feriados),IF($A55="","",_xlpm.dias*Consultores!$C55))</f>
        <v/>
      </c>
      <c r="I55" s="3" t="n"/>
      <c r="J55" s="35">
        <f>IF($A55="","",SUMIFS(Asignaciones!J$6:J$305,Asignaciones!$A$6:$A$305,$A55))</f>
        <v/>
      </c>
      <c r="K55" s="35">
        <f>IF($A55="","",SUMIFS(Asignaciones!K$6:K$305,Asignaciones!$A$6:$A$305,$A55))</f>
        <v/>
      </c>
      <c r="L55" s="35">
        <f>IF($A55="","",SUMIFS(Asignaciones!L$6:L$305,Asignaciones!$A$6:$A$305,$A55))</f>
        <v/>
      </c>
      <c r="M55" s="35">
        <f>IF($A55="","",SUMIFS(Asignaciones!M$6:M$305,Asignaciones!$A$6:$A$305,$A55))</f>
        <v/>
      </c>
      <c r="N55" s="35">
        <f>IF($A55="","",SUMIFS(Asignaciones!N$6:N$305,Asignaciones!$A$6:$A$305,$A55))</f>
        <v/>
      </c>
      <c r="O55" s="35">
        <f>IF($A55="","",SUMIFS(Asignaciones!O$6:O$305,Asignaciones!$A$6:$A$305,$A55))</f>
        <v/>
      </c>
      <c r="P55" s="3" t="n"/>
      <c r="Q55" s="35">
        <f>IF($A55="","",C55-J55)</f>
        <v/>
      </c>
      <c r="R55" s="35">
        <f>IF($A55="","",D55-K55)</f>
        <v/>
      </c>
      <c r="S55" s="35">
        <f>IF($A55="","",E55-L55)</f>
        <v/>
      </c>
      <c r="T55" s="35">
        <f>IF($A55="","",F55-M55)</f>
        <v/>
      </c>
      <c r="U55" s="35">
        <f>IF($A55="","",G55-N55)</f>
        <v/>
      </c>
      <c r="V55" s="35">
        <f>IF($A55="","",H55-O55)</f>
        <v/>
      </c>
    </row>
    <row r="56">
      <c r="A56" s="17">
        <f>IF(Consultores!A56="","",Consultores!A56)</f>
        <v/>
      </c>
      <c r="B56" s="17">
        <f>IF(Consultores!A56="","",Consultores!B56)</f>
        <v/>
      </c>
      <c r="C56" s="35">
        <f>_xlfn.LET(_xlpm.feriados,IF($B56="CO",FER_CO,FER_EC),_xlpm.dias,NETWORKDAYS(Asignaciones!J$3,Asignaciones!J$4,_xlpm.feriados),IF($A56="","",_xlpm.dias*Consultores!$C56))</f>
        <v/>
      </c>
      <c r="D56" s="35">
        <f>_xlfn.LET(_xlpm.feriados,IF($B56="CO",FER_CO,FER_EC),_xlpm.dias,NETWORKDAYS(Asignaciones!K$3,Asignaciones!K$4,_xlpm.feriados),IF($A56="","",_xlpm.dias*Consultores!$C56))</f>
        <v/>
      </c>
      <c r="E56" s="35">
        <f>_xlfn.LET(_xlpm.feriados,IF($B56="CO",FER_CO,FER_EC),_xlpm.dias,NETWORKDAYS(Asignaciones!L$3,Asignaciones!L$4,_xlpm.feriados),IF($A56="","",_xlpm.dias*Consultores!$C56))</f>
        <v/>
      </c>
      <c r="F56" s="35">
        <f>_xlfn.LET(_xlpm.feriados,IF($B56="CO",FER_CO,FER_EC),_xlpm.dias,NETWORKDAYS(Asignaciones!M$3,Asignaciones!M$4,_xlpm.feriados),IF($A56="","",_xlpm.dias*Consultores!$C56))</f>
        <v/>
      </c>
      <c r="G56" s="35">
        <f>_xlfn.LET(_xlpm.feriados,IF($B56="CO",FER_CO,FER_EC),_xlpm.dias,NETWORKDAYS(Asignaciones!N$3,Asignaciones!N$4,_xlpm.feriados),IF($A56="","",_xlpm.dias*Consultores!$C56))</f>
        <v/>
      </c>
      <c r="H56" s="35">
        <f>_xlfn.LET(_xlpm.feriados,IF($B56="CO",FER_CO,FER_EC),_xlpm.dias,NETWORKDAYS(Asignaciones!O$3,Asignaciones!O$4,_xlpm.feriados),IF($A56="","",_xlpm.dias*Consultores!$C56))</f>
        <v/>
      </c>
      <c r="I56" s="3" t="n"/>
      <c r="J56" s="35">
        <f>IF($A56="","",SUMIFS(Asignaciones!J$6:J$305,Asignaciones!$A$6:$A$305,$A56))</f>
        <v/>
      </c>
      <c r="K56" s="35">
        <f>IF($A56="","",SUMIFS(Asignaciones!K$6:K$305,Asignaciones!$A$6:$A$305,$A56))</f>
        <v/>
      </c>
      <c r="L56" s="35">
        <f>IF($A56="","",SUMIFS(Asignaciones!L$6:L$305,Asignaciones!$A$6:$A$305,$A56))</f>
        <v/>
      </c>
      <c r="M56" s="35">
        <f>IF($A56="","",SUMIFS(Asignaciones!M$6:M$305,Asignaciones!$A$6:$A$305,$A56))</f>
        <v/>
      </c>
      <c r="N56" s="35">
        <f>IF($A56="","",SUMIFS(Asignaciones!N$6:N$305,Asignaciones!$A$6:$A$305,$A56))</f>
        <v/>
      </c>
      <c r="O56" s="35">
        <f>IF($A56="","",SUMIFS(Asignaciones!O$6:O$305,Asignaciones!$A$6:$A$305,$A56))</f>
        <v/>
      </c>
      <c r="P56" s="3" t="n"/>
      <c r="Q56" s="35">
        <f>IF($A56="","",C56-J56)</f>
        <v/>
      </c>
      <c r="R56" s="35">
        <f>IF($A56="","",D56-K56)</f>
        <v/>
      </c>
      <c r="S56" s="35">
        <f>IF($A56="","",E56-L56)</f>
        <v/>
      </c>
      <c r="T56" s="35">
        <f>IF($A56="","",F56-M56)</f>
        <v/>
      </c>
      <c r="U56" s="35">
        <f>IF($A56="","",G56-N56)</f>
        <v/>
      </c>
      <c r="V56" s="35">
        <f>IF($A56="","",H56-O56)</f>
        <v/>
      </c>
    </row>
    <row r="57">
      <c r="A57" s="17">
        <f>IF(Consultores!A57="","",Consultores!A57)</f>
        <v/>
      </c>
      <c r="B57" s="17">
        <f>IF(Consultores!A57="","",Consultores!B57)</f>
        <v/>
      </c>
      <c r="C57" s="35">
        <f>_xlfn.LET(_xlpm.feriados,IF($B57="CO",FER_CO,FER_EC),_xlpm.dias,NETWORKDAYS(Asignaciones!J$3,Asignaciones!J$4,_xlpm.feriados),IF($A57="","",_xlpm.dias*Consultores!$C57))</f>
        <v/>
      </c>
      <c r="D57" s="35">
        <f>_xlfn.LET(_xlpm.feriados,IF($B57="CO",FER_CO,FER_EC),_xlpm.dias,NETWORKDAYS(Asignaciones!K$3,Asignaciones!K$4,_xlpm.feriados),IF($A57="","",_xlpm.dias*Consultores!$C57))</f>
        <v/>
      </c>
      <c r="E57" s="35">
        <f>_xlfn.LET(_xlpm.feriados,IF($B57="CO",FER_CO,FER_EC),_xlpm.dias,NETWORKDAYS(Asignaciones!L$3,Asignaciones!L$4,_xlpm.feriados),IF($A57="","",_xlpm.dias*Consultores!$C57))</f>
        <v/>
      </c>
      <c r="F57" s="35">
        <f>_xlfn.LET(_xlpm.feriados,IF($B57="CO",FER_CO,FER_EC),_xlpm.dias,NETWORKDAYS(Asignaciones!M$3,Asignaciones!M$4,_xlpm.feriados),IF($A57="","",_xlpm.dias*Consultores!$C57))</f>
        <v/>
      </c>
      <c r="G57" s="35">
        <f>_xlfn.LET(_xlpm.feriados,IF($B57="CO",FER_CO,FER_EC),_xlpm.dias,NETWORKDAYS(Asignaciones!N$3,Asignaciones!N$4,_xlpm.feriados),IF($A57="","",_xlpm.dias*Consultores!$C57))</f>
        <v/>
      </c>
      <c r="H57" s="35">
        <f>_xlfn.LET(_xlpm.feriados,IF($B57="CO",FER_CO,FER_EC),_xlpm.dias,NETWORKDAYS(Asignaciones!O$3,Asignaciones!O$4,_xlpm.feriados),IF($A57="","",_xlpm.dias*Consultores!$C57))</f>
        <v/>
      </c>
      <c r="I57" s="3" t="n"/>
      <c r="J57" s="35">
        <f>IF($A57="","",SUMIFS(Asignaciones!J$6:J$305,Asignaciones!$A$6:$A$305,$A57))</f>
        <v/>
      </c>
      <c r="K57" s="35">
        <f>IF($A57="","",SUMIFS(Asignaciones!K$6:K$305,Asignaciones!$A$6:$A$305,$A57))</f>
        <v/>
      </c>
      <c r="L57" s="35">
        <f>IF($A57="","",SUMIFS(Asignaciones!L$6:L$305,Asignaciones!$A$6:$A$305,$A57))</f>
        <v/>
      </c>
      <c r="M57" s="35">
        <f>IF($A57="","",SUMIFS(Asignaciones!M$6:M$305,Asignaciones!$A$6:$A$305,$A57))</f>
        <v/>
      </c>
      <c r="N57" s="35">
        <f>IF($A57="","",SUMIFS(Asignaciones!N$6:N$305,Asignaciones!$A$6:$A$305,$A57))</f>
        <v/>
      </c>
      <c r="O57" s="35">
        <f>IF($A57="","",SUMIFS(Asignaciones!O$6:O$305,Asignaciones!$A$6:$A$305,$A57))</f>
        <v/>
      </c>
      <c r="P57" s="3" t="n"/>
      <c r="Q57" s="35">
        <f>IF($A57="","",C57-J57)</f>
        <v/>
      </c>
      <c r="R57" s="35">
        <f>IF($A57="","",D57-K57)</f>
        <v/>
      </c>
      <c r="S57" s="35">
        <f>IF($A57="","",E57-L57)</f>
        <v/>
      </c>
      <c r="T57" s="35">
        <f>IF($A57="","",F57-M57)</f>
        <v/>
      </c>
      <c r="U57" s="35">
        <f>IF($A57="","",G57-N57)</f>
        <v/>
      </c>
      <c r="V57" s="35">
        <f>IF($A57="","",H57-O57)</f>
        <v/>
      </c>
    </row>
    <row r="58">
      <c r="A58" s="17">
        <f>IF(Consultores!A58="","",Consultores!A58)</f>
        <v/>
      </c>
      <c r="B58" s="17">
        <f>IF(Consultores!A58="","",Consultores!B58)</f>
        <v/>
      </c>
      <c r="C58" s="35">
        <f>_xlfn.LET(_xlpm.feriados,IF($B58="CO",FER_CO,FER_EC),_xlpm.dias,NETWORKDAYS(Asignaciones!J$3,Asignaciones!J$4,_xlpm.feriados),IF($A58="","",_xlpm.dias*Consultores!$C58))</f>
        <v/>
      </c>
      <c r="D58" s="35">
        <f>_xlfn.LET(_xlpm.feriados,IF($B58="CO",FER_CO,FER_EC),_xlpm.dias,NETWORKDAYS(Asignaciones!K$3,Asignaciones!K$4,_xlpm.feriados),IF($A58="","",_xlpm.dias*Consultores!$C58))</f>
        <v/>
      </c>
      <c r="E58" s="35">
        <f>_xlfn.LET(_xlpm.feriados,IF($B58="CO",FER_CO,FER_EC),_xlpm.dias,NETWORKDAYS(Asignaciones!L$3,Asignaciones!L$4,_xlpm.feriados),IF($A58="","",_xlpm.dias*Consultores!$C58))</f>
        <v/>
      </c>
      <c r="F58" s="35">
        <f>_xlfn.LET(_xlpm.feriados,IF($B58="CO",FER_CO,FER_EC),_xlpm.dias,NETWORKDAYS(Asignaciones!M$3,Asignaciones!M$4,_xlpm.feriados),IF($A58="","",_xlpm.dias*Consultores!$C58))</f>
        <v/>
      </c>
      <c r="G58" s="35">
        <f>_xlfn.LET(_xlpm.feriados,IF($B58="CO",FER_CO,FER_EC),_xlpm.dias,NETWORKDAYS(Asignaciones!N$3,Asignaciones!N$4,_xlpm.feriados),IF($A58="","",_xlpm.dias*Consultores!$C58))</f>
        <v/>
      </c>
      <c r="H58" s="35">
        <f>_xlfn.LET(_xlpm.feriados,IF($B58="CO",FER_CO,FER_EC),_xlpm.dias,NETWORKDAYS(Asignaciones!O$3,Asignaciones!O$4,_xlpm.feriados),IF($A58="","",_xlpm.dias*Consultores!$C58))</f>
        <v/>
      </c>
      <c r="I58" s="3" t="n"/>
      <c r="J58" s="35">
        <f>IF($A58="","",SUMIFS(Asignaciones!J$6:J$305,Asignaciones!$A$6:$A$305,$A58))</f>
        <v/>
      </c>
      <c r="K58" s="35">
        <f>IF($A58="","",SUMIFS(Asignaciones!K$6:K$305,Asignaciones!$A$6:$A$305,$A58))</f>
        <v/>
      </c>
      <c r="L58" s="35">
        <f>IF($A58="","",SUMIFS(Asignaciones!L$6:L$305,Asignaciones!$A$6:$A$305,$A58))</f>
        <v/>
      </c>
      <c r="M58" s="35">
        <f>IF($A58="","",SUMIFS(Asignaciones!M$6:M$305,Asignaciones!$A$6:$A$305,$A58))</f>
        <v/>
      </c>
      <c r="N58" s="35">
        <f>IF($A58="","",SUMIFS(Asignaciones!N$6:N$305,Asignaciones!$A$6:$A$305,$A58))</f>
        <v/>
      </c>
      <c r="O58" s="35">
        <f>IF($A58="","",SUMIFS(Asignaciones!O$6:O$305,Asignaciones!$A$6:$A$305,$A58))</f>
        <v/>
      </c>
      <c r="P58" s="3" t="n"/>
      <c r="Q58" s="35">
        <f>IF($A58="","",C58-J58)</f>
        <v/>
      </c>
      <c r="R58" s="35">
        <f>IF($A58="","",D58-K58)</f>
        <v/>
      </c>
      <c r="S58" s="35">
        <f>IF($A58="","",E58-L58)</f>
        <v/>
      </c>
      <c r="T58" s="35">
        <f>IF($A58="","",F58-M58)</f>
        <v/>
      </c>
      <c r="U58" s="35">
        <f>IF($A58="","",G58-N58)</f>
        <v/>
      </c>
      <c r="V58" s="35">
        <f>IF($A58="","",H58-O58)</f>
        <v/>
      </c>
    </row>
    <row r="59">
      <c r="A59" s="17">
        <f>IF(Consultores!A59="","",Consultores!A59)</f>
        <v/>
      </c>
      <c r="B59" s="17">
        <f>IF(Consultores!A59="","",Consultores!B59)</f>
        <v/>
      </c>
      <c r="C59" s="35">
        <f>_xlfn.LET(_xlpm.feriados,IF($B59="CO",FER_CO,FER_EC),_xlpm.dias,NETWORKDAYS(Asignaciones!J$3,Asignaciones!J$4,_xlpm.feriados),IF($A59="","",_xlpm.dias*Consultores!$C59))</f>
        <v/>
      </c>
      <c r="D59" s="35">
        <f>_xlfn.LET(_xlpm.feriados,IF($B59="CO",FER_CO,FER_EC),_xlpm.dias,NETWORKDAYS(Asignaciones!K$3,Asignaciones!K$4,_xlpm.feriados),IF($A59="","",_xlpm.dias*Consultores!$C59))</f>
        <v/>
      </c>
      <c r="E59" s="35">
        <f>_xlfn.LET(_xlpm.feriados,IF($B59="CO",FER_CO,FER_EC),_xlpm.dias,NETWORKDAYS(Asignaciones!L$3,Asignaciones!L$4,_xlpm.feriados),IF($A59="","",_xlpm.dias*Consultores!$C59))</f>
        <v/>
      </c>
      <c r="F59" s="35">
        <f>_xlfn.LET(_xlpm.feriados,IF($B59="CO",FER_CO,FER_EC),_xlpm.dias,NETWORKDAYS(Asignaciones!M$3,Asignaciones!M$4,_xlpm.feriados),IF($A59="","",_xlpm.dias*Consultores!$C59))</f>
        <v/>
      </c>
      <c r="G59" s="35">
        <f>_xlfn.LET(_xlpm.feriados,IF($B59="CO",FER_CO,FER_EC),_xlpm.dias,NETWORKDAYS(Asignaciones!N$3,Asignaciones!N$4,_xlpm.feriados),IF($A59="","",_xlpm.dias*Consultores!$C59))</f>
        <v/>
      </c>
      <c r="H59" s="35">
        <f>_xlfn.LET(_xlpm.feriados,IF($B59="CO",FER_CO,FER_EC),_xlpm.dias,NETWORKDAYS(Asignaciones!O$3,Asignaciones!O$4,_xlpm.feriados),IF($A59="","",_xlpm.dias*Consultores!$C59))</f>
        <v/>
      </c>
      <c r="I59" s="3" t="n"/>
      <c r="J59" s="35">
        <f>IF($A59="","",SUMIFS(Asignaciones!J$6:J$305,Asignaciones!$A$6:$A$305,$A59))</f>
        <v/>
      </c>
      <c r="K59" s="35">
        <f>IF($A59="","",SUMIFS(Asignaciones!K$6:K$305,Asignaciones!$A$6:$A$305,$A59))</f>
        <v/>
      </c>
      <c r="L59" s="35">
        <f>IF($A59="","",SUMIFS(Asignaciones!L$6:L$305,Asignaciones!$A$6:$A$305,$A59))</f>
        <v/>
      </c>
      <c r="M59" s="35">
        <f>IF($A59="","",SUMIFS(Asignaciones!M$6:M$305,Asignaciones!$A$6:$A$305,$A59))</f>
        <v/>
      </c>
      <c r="N59" s="35">
        <f>IF($A59="","",SUMIFS(Asignaciones!N$6:N$305,Asignaciones!$A$6:$A$305,$A59))</f>
        <v/>
      </c>
      <c r="O59" s="35">
        <f>IF($A59="","",SUMIFS(Asignaciones!O$6:O$305,Asignaciones!$A$6:$A$305,$A59))</f>
        <v/>
      </c>
      <c r="P59" s="3" t="n"/>
      <c r="Q59" s="35">
        <f>IF($A59="","",C59-J59)</f>
        <v/>
      </c>
      <c r="R59" s="35">
        <f>IF($A59="","",D59-K59)</f>
        <v/>
      </c>
      <c r="S59" s="35">
        <f>IF($A59="","",E59-L59)</f>
        <v/>
      </c>
      <c r="T59" s="35">
        <f>IF($A59="","",F59-M59)</f>
        <v/>
      </c>
      <c r="U59" s="35">
        <f>IF($A59="","",G59-N59)</f>
        <v/>
      </c>
      <c r="V59" s="35">
        <f>IF($A59="","",H59-O59)</f>
        <v/>
      </c>
    </row>
    <row r="60">
      <c r="A60" s="17">
        <f>IF(Consultores!A60="","",Consultores!A60)</f>
        <v/>
      </c>
      <c r="B60" s="17">
        <f>IF(Consultores!A60="","",Consultores!B60)</f>
        <v/>
      </c>
      <c r="C60" s="35">
        <f>_xlfn.LET(_xlpm.feriados,IF($B60="CO",FER_CO,FER_EC),_xlpm.dias,NETWORKDAYS(Asignaciones!J$3,Asignaciones!J$4,_xlpm.feriados),IF($A60="","",_xlpm.dias*Consultores!$C60))</f>
        <v/>
      </c>
      <c r="D60" s="35">
        <f>_xlfn.LET(_xlpm.feriados,IF($B60="CO",FER_CO,FER_EC),_xlpm.dias,NETWORKDAYS(Asignaciones!K$3,Asignaciones!K$4,_xlpm.feriados),IF($A60="","",_xlpm.dias*Consultores!$C60))</f>
        <v/>
      </c>
      <c r="E60" s="35">
        <f>_xlfn.LET(_xlpm.feriados,IF($B60="CO",FER_CO,FER_EC),_xlpm.dias,NETWORKDAYS(Asignaciones!L$3,Asignaciones!L$4,_xlpm.feriados),IF($A60="","",_xlpm.dias*Consultores!$C60))</f>
        <v/>
      </c>
      <c r="F60" s="35">
        <f>_xlfn.LET(_xlpm.feriados,IF($B60="CO",FER_CO,FER_EC),_xlpm.dias,NETWORKDAYS(Asignaciones!M$3,Asignaciones!M$4,_xlpm.feriados),IF($A60="","",_xlpm.dias*Consultores!$C60))</f>
        <v/>
      </c>
      <c r="G60" s="35">
        <f>_xlfn.LET(_xlpm.feriados,IF($B60="CO",FER_CO,FER_EC),_xlpm.dias,NETWORKDAYS(Asignaciones!N$3,Asignaciones!N$4,_xlpm.feriados),IF($A60="","",_xlpm.dias*Consultores!$C60))</f>
        <v/>
      </c>
      <c r="H60" s="35">
        <f>_xlfn.LET(_xlpm.feriados,IF($B60="CO",FER_CO,FER_EC),_xlpm.dias,NETWORKDAYS(Asignaciones!O$3,Asignaciones!O$4,_xlpm.feriados),IF($A60="","",_xlpm.dias*Consultores!$C60))</f>
        <v/>
      </c>
      <c r="I60" s="3" t="n"/>
      <c r="J60" s="35">
        <f>IF($A60="","",SUMIFS(Asignaciones!J$6:J$305,Asignaciones!$A$6:$A$305,$A60))</f>
        <v/>
      </c>
      <c r="K60" s="35">
        <f>IF($A60="","",SUMIFS(Asignaciones!K$6:K$305,Asignaciones!$A$6:$A$305,$A60))</f>
        <v/>
      </c>
      <c r="L60" s="35">
        <f>IF($A60="","",SUMIFS(Asignaciones!L$6:L$305,Asignaciones!$A$6:$A$305,$A60))</f>
        <v/>
      </c>
      <c r="M60" s="35">
        <f>IF($A60="","",SUMIFS(Asignaciones!M$6:M$305,Asignaciones!$A$6:$A$305,$A60))</f>
        <v/>
      </c>
      <c r="N60" s="35">
        <f>IF($A60="","",SUMIFS(Asignaciones!N$6:N$305,Asignaciones!$A$6:$A$305,$A60))</f>
        <v/>
      </c>
      <c r="O60" s="35">
        <f>IF($A60="","",SUMIFS(Asignaciones!O$6:O$305,Asignaciones!$A$6:$A$305,$A60))</f>
        <v/>
      </c>
      <c r="P60" s="3" t="n"/>
      <c r="Q60" s="35">
        <f>IF($A60="","",C60-J60)</f>
        <v/>
      </c>
      <c r="R60" s="35">
        <f>IF($A60="","",D60-K60)</f>
        <v/>
      </c>
      <c r="S60" s="35">
        <f>IF($A60="","",E60-L60)</f>
        <v/>
      </c>
      <c r="T60" s="35">
        <f>IF($A60="","",F60-M60)</f>
        <v/>
      </c>
      <c r="U60" s="35">
        <f>IF($A60="","",G60-N60)</f>
        <v/>
      </c>
      <c r="V60" s="35">
        <f>IF($A60="","",H60-O60)</f>
        <v/>
      </c>
    </row>
    <row r="61">
      <c r="A61" s="17">
        <f>IF(Consultores!A61="","",Consultores!A61)</f>
        <v/>
      </c>
      <c r="B61" s="17">
        <f>IF(Consultores!A61="","",Consultores!B61)</f>
        <v/>
      </c>
      <c r="C61" s="35">
        <f>_xlfn.LET(_xlpm.feriados,IF($B61="CO",FER_CO,FER_EC),_xlpm.dias,NETWORKDAYS(Asignaciones!J$3,Asignaciones!J$4,_xlpm.feriados),IF($A61="","",_xlpm.dias*Consultores!$C61))</f>
        <v/>
      </c>
      <c r="D61" s="35">
        <f>_xlfn.LET(_xlpm.feriados,IF($B61="CO",FER_CO,FER_EC),_xlpm.dias,NETWORKDAYS(Asignaciones!K$3,Asignaciones!K$4,_xlpm.feriados),IF($A61="","",_xlpm.dias*Consultores!$C61))</f>
        <v/>
      </c>
      <c r="E61" s="35">
        <f>_xlfn.LET(_xlpm.feriados,IF($B61="CO",FER_CO,FER_EC),_xlpm.dias,NETWORKDAYS(Asignaciones!L$3,Asignaciones!L$4,_xlpm.feriados),IF($A61="","",_xlpm.dias*Consultores!$C61))</f>
        <v/>
      </c>
      <c r="F61" s="35">
        <f>_xlfn.LET(_xlpm.feriados,IF($B61="CO",FER_CO,FER_EC),_xlpm.dias,NETWORKDAYS(Asignaciones!M$3,Asignaciones!M$4,_xlpm.feriados),IF($A61="","",_xlpm.dias*Consultores!$C61))</f>
        <v/>
      </c>
      <c r="G61" s="35">
        <f>_xlfn.LET(_xlpm.feriados,IF($B61="CO",FER_CO,FER_EC),_xlpm.dias,NETWORKDAYS(Asignaciones!N$3,Asignaciones!N$4,_xlpm.feriados),IF($A61="","",_xlpm.dias*Consultores!$C61))</f>
        <v/>
      </c>
      <c r="H61" s="35">
        <f>_xlfn.LET(_xlpm.feriados,IF($B61="CO",FER_CO,FER_EC),_xlpm.dias,NETWORKDAYS(Asignaciones!O$3,Asignaciones!O$4,_xlpm.feriados),IF($A61="","",_xlpm.dias*Consultores!$C61))</f>
        <v/>
      </c>
      <c r="I61" s="3" t="n"/>
      <c r="J61" s="35">
        <f>IF($A61="","",SUMIFS(Asignaciones!J$6:J$305,Asignaciones!$A$6:$A$305,$A61))</f>
        <v/>
      </c>
      <c r="K61" s="35">
        <f>IF($A61="","",SUMIFS(Asignaciones!K$6:K$305,Asignaciones!$A$6:$A$305,$A61))</f>
        <v/>
      </c>
      <c r="L61" s="35">
        <f>IF($A61="","",SUMIFS(Asignaciones!L$6:L$305,Asignaciones!$A$6:$A$305,$A61))</f>
        <v/>
      </c>
      <c r="M61" s="35">
        <f>IF($A61="","",SUMIFS(Asignaciones!M$6:M$305,Asignaciones!$A$6:$A$305,$A61))</f>
        <v/>
      </c>
      <c r="N61" s="35">
        <f>IF($A61="","",SUMIFS(Asignaciones!N$6:N$305,Asignaciones!$A$6:$A$305,$A61))</f>
        <v/>
      </c>
      <c r="O61" s="35">
        <f>IF($A61="","",SUMIFS(Asignaciones!O$6:O$305,Asignaciones!$A$6:$A$305,$A61))</f>
        <v/>
      </c>
      <c r="P61" s="3" t="n"/>
      <c r="Q61" s="35">
        <f>IF($A61="","",C61-J61)</f>
        <v/>
      </c>
      <c r="R61" s="35">
        <f>IF($A61="","",D61-K61)</f>
        <v/>
      </c>
      <c r="S61" s="35">
        <f>IF($A61="","",E61-L61)</f>
        <v/>
      </c>
      <c r="T61" s="35">
        <f>IF($A61="","",F61-M61)</f>
        <v/>
      </c>
      <c r="U61" s="35">
        <f>IF($A61="","",G61-N61)</f>
        <v/>
      </c>
      <c r="V61" s="35">
        <f>IF($A61="","",H61-O61)</f>
        <v/>
      </c>
    </row>
    <row r="62">
      <c r="A62" s="17">
        <f>IF(Consultores!A62="","",Consultores!A62)</f>
        <v/>
      </c>
      <c r="B62" s="17">
        <f>IF(Consultores!A62="","",Consultores!B62)</f>
        <v/>
      </c>
      <c r="C62" s="35">
        <f>_xlfn.LET(_xlpm.feriados,IF($B62="CO",FER_CO,FER_EC),_xlpm.dias,NETWORKDAYS(Asignaciones!J$3,Asignaciones!J$4,_xlpm.feriados),IF($A62="","",_xlpm.dias*Consultores!$C62))</f>
        <v/>
      </c>
      <c r="D62" s="35">
        <f>_xlfn.LET(_xlpm.feriados,IF($B62="CO",FER_CO,FER_EC),_xlpm.dias,NETWORKDAYS(Asignaciones!K$3,Asignaciones!K$4,_xlpm.feriados),IF($A62="","",_xlpm.dias*Consultores!$C62))</f>
        <v/>
      </c>
      <c r="E62" s="35">
        <f>_xlfn.LET(_xlpm.feriados,IF($B62="CO",FER_CO,FER_EC),_xlpm.dias,NETWORKDAYS(Asignaciones!L$3,Asignaciones!L$4,_xlpm.feriados),IF($A62="","",_xlpm.dias*Consultores!$C62))</f>
        <v/>
      </c>
      <c r="F62" s="35">
        <f>_xlfn.LET(_xlpm.feriados,IF($B62="CO",FER_CO,FER_EC),_xlpm.dias,NETWORKDAYS(Asignaciones!M$3,Asignaciones!M$4,_xlpm.feriados),IF($A62="","",_xlpm.dias*Consultores!$C62))</f>
        <v/>
      </c>
      <c r="G62" s="35">
        <f>_xlfn.LET(_xlpm.feriados,IF($B62="CO",FER_CO,FER_EC),_xlpm.dias,NETWORKDAYS(Asignaciones!N$3,Asignaciones!N$4,_xlpm.feriados),IF($A62="","",_xlpm.dias*Consultores!$C62))</f>
        <v/>
      </c>
      <c r="H62" s="35">
        <f>_xlfn.LET(_xlpm.feriados,IF($B62="CO",FER_CO,FER_EC),_xlpm.dias,NETWORKDAYS(Asignaciones!O$3,Asignaciones!O$4,_xlpm.feriados),IF($A62="","",_xlpm.dias*Consultores!$C62))</f>
        <v/>
      </c>
      <c r="I62" s="3" t="n"/>
      <c r="J62" s="35">
        <f>IF($A62="","",SUMIFS(Asignaciones!J$6:J$305,Asignaciones!$A$6:$A$305,$A62))</f>
        <v/>
      </c>
      <c r="K62" s="35">
        <f>IF($A62="","",SUMIFS(Asignaciones!K$6:K$305,Asignaciones!$A$6:$A$305,$A62))</f>
        <v/>
      </c>
      <c r="L62" s="35">
        <f>IF($A62="","",SUMIFS(Asignaciones!L$6:L$305,Asignaciones!$A$6:$A$305,$A62))</f>
        <v/>
      </c>
      <c r="M62" s="35">
        <f>IF($A62="","",SUMIFS(Asignaciones!M$6:M$305,Asignaciones!$A$6:$A$305,$A62))</f>
        <v/>
      </c>
      <c r="N62" s="35">
        <f>IF($A62="","",SUMIFS(Asignaciones!N$6:N$305,Asignaciones!$A$6:$A$305,$A62))</f>
        <v/>
      </c>
      <c r="O62" s="35">
        <f>IF($A62="","",SUMIFS(Asignaciones!O$6:O$305,Asignaciones!$A$6:$A$305,$A62))</f>
        <v/>
      </c>
      <c r="P62" s="3" t="n"/>
      <c r="Q62" s="35">
        <f>IF($A62="","",C62-J62)</f>
        <v/>
      </c>
      <c r="R62" s="35">
        <f>IF($A62="","",D62-K62)</f>
        <v/>
      </c>
      <c r="S62" s="35">
        <f>IF($A62="","",E62-L62)</f>
        <v/>
      </c>
      <c r="T62" s="35">
        <f>IF($A62="","",F62-M62)</f>
        <v/>
      </c>
      <c r="U62" s="35">
        <f>IF($A62="","",G62-N62)</f>
        <v/>
      </c>
      <c r="V62" s="35">
        <f>IF($A62="","",H62-O62)</f>
        <v/>
      </c>
    </row>
    <row r="63">
      <c r="A63" s="17">
        <f>IF(Consultores!A63="","",Consultores!A63)</f>
        <v/>
      </c>
      <c r="B63" s="17">
        <f>IF(Consultores!A63="","",Consultores!B63)</f>
        <v/>
      </c>
      <c r="C63" s="35">
        <f>_xlfn.LET(_xlpm.feriados,IF($B63="CO",FER_CO,FER_EC),_xlpm.dias,NETWORKDAYS(Asignaciones!J$3,Asignaciones!J$4,_xlpm.feriados),IF($A63="","",_xlpm.dias*Consultores!$C63))</f>
        <v/>
      </c>
      <c r="D63" s="35">
        <f>_xlfn.LET(_xlpm.feriados,IF($B63="CO",FER_CO,FER_EC),_xlpm.dias,NETWORKDAYS(Asignaciones!K$3,Asignaciones!K$4,_xlpm.feriados),IF($A63="","",_xlpm.dias*Consultores!$C63))</f>
        <v/>
      </c>
      <c r="E63" s="35">
        <f>_xlfn.LET(_xlpm.feriados,IF($B63="CO",FER_CO,FER_EC),_xlpm.dias,NETWORKDAYS(Asignaciones!L$3,Asignaciones!L$4,_xlpm.feriados),IF($A63="","",_xlpm.dias*Consultores!$C63))</f>
        <v/>
      </c>
      <c r="F63" s="35">
        <f>_xlfn.LET(_xlpm.feriados,IF($B63="CO",FER_CO,FER_EC),_xlpm.dias,NETWORKDAYS(Asignaciones!M$3,Asignaciones!M$4,_xlpm.feriados),IF($A63="","",_xlpm.dias*Consultores!$C63))</f>
        <v/>
      </c>
      <c r="G63" s="35">
        <f>_xlfn.LET(_xlpm.feriados,IF($B63="CO",FER_CO,FER_EC),_xlpm.dias,NETWORKDAYS(Asignaciones!N$3,Asignaciones!N$4,_xlpm.feriados),IF($A63="","",_xlpm.dias*Consultores!$C63))</f>
        <v/>
      </c>
      <c r="H63" s="35">
        <f>_xlfn.LET(_xlpm.feriados,IF($B63="CO",FER_CO,FER_EC),_xlpm.dias,NETWORKDAYS(Asignaciones!O$3,Asignaciones!O$4,_xlpm.feriados),IF($A63="","",_xlpm.dias*Consultores!$C63))</f>
        <v/>
      </c>
      <c r="I63" s="3" t="n"/>
      <c r="J63" s="35">
        <f>IF($A63="","",SUMIFS(Asignaciones!J$6:J$305,Asignaciones!$A$6:$A$305,$A63))</f>
        <v/>
      </c>
      <c r="K63" s="35">
        <f>IF($A63="","",SUMIFS(Asignaciones!K$6:K$305,Asignaciones!$A$6:$A$305,$A63))</f>
        <v/>
      </c>
      <c r="L63" s="35">
        <f>IF($A63="","",SUMIFS(Asignaciones!L$6:L$305,Asignaciones!$A$6:$A$305,$A63))</f>
        <v/>
      </c>
      <c r="M63" s="35">
        <f>IF($A63="","",SUMIFS(Asignaciones!M$6:M$305,Asignaciones!$A$6:$A$305,$A63))</f>
        <v/>
      </c>
      <c r="N63" s="35">
        <f>IF($A63="","",SUMIFS(Asignaciones!N$6:N$305,Asignaciones!$A$6:$A$305,$A63))</f>
        <v/>
      </c>
      <c r="O63" s="35">
        <f>IF($A63="","",SUMIFS(Asignaciones!O$6:O$305,Asignaciones!$A$6:$A$305,$A63))</f>
        <v/>
      </c>
      <c r="P63" s="3" t="n"/>
      <c r="Q63" s="35">
        <f>IF($A63="","",C63-J63)</f>
        <v/>
      </c>
      <c r="R63" s="35">
        <f>IF($A63="","",D63-K63)</f>
        <v/>
      </c>
      <c r="S63" s="35">
        <f>IF($A63="","",E63-L63)</f>
        <v/>
      </c>
      <c r="T63" s="35">
        <f>IF($A63="","",F63-M63)</f>
        <v/>
      </c>
      <c r="U63" s="35">
        <f>IF($A63="","",G63-N63)</f>
        <v/>
      </c>
      <c r="V63" s="35">
        <f>IF($A63="","",H63-O63)</f>
        <v/>
      </c>
    </row>
    <row r="64">
      <c r="A64" s="17">
        <f>IF(Consultores!A64="","",Consultores!A64)</f>
        <v/>
      </c>
      <c r="B64" s="17">
        <f>IF(Consultores!A64="","",Consultores!B64)</f>
        <v/>
      </c>
      <c r="C64" s="35">
        <f>_xlfn.LET(_xlpm.feriados,IF($B64="CO",FER_CO,FER_EC),_xlpm.dias,NETWORKDAYS(Asignaciones!J$3,Asignaciones!J$4,_xlpm.feriados),IF($A64="","",_xlpm.dias*Consultores!$C64))</f>
        <v/>
      </c>
      <c r="D64" s="35">
        <f>_xlfn.LET(_xlpm.feriados,IF($B64="CO",FER_CO,FER_EC),_xlpm.dias,NETWORKDAYS(Asignaciones!K$3,Asignaciones!K$4,_xlpm.feriados),IF($A64="","",_xlpm.dias*Consultores!$C64))</f>
        <v/>
      </c>
      <c r="E64" s="35">
        <f>_xlfn.LET(_xlpm.feriados,IF($B64="CO",FER_CO,FER_EC),_xlpm.dias,NETWORKDAYS(Asignaciones!L$3,Asignaciones!L$4,_xlpm.feriados),IF($A64="","",_xlpm.dias*Consultores!$C64))</f>
        <v/>
      </c>
      <c r="F64" s="35">
        <f>_xlfn.LET(_xlpm.feriados,IF($B64="CO",FER_CO,FER_EC),_xlpm.dias,NETWORKDAYS(Asignaciones!M$3,Asignaciones!M$4,_xlpm.feriados),IF($A64="","",_xlpm.dias*Consultores!$C64))</f>
        <v/>
      </c>
      <c r="G64" s="35">
        <f>_xlfn.LET(_xlpm.feriados,IF($B64="CO",FER_CO,FER_EC),_xlpm.dias,NETWORKDAYS(Asignaciones!N$3,Asignaciones!N$4,_xlpm.feriados),IF($A64="","",_xlpm.dias*Consultores!$C64))</f>
        <v/>
      </c>
      <c r="H64" s="35">
        <f>_xlfn.LET(_xlpm.feriados,IF($B64="CO",FER_CO,FER_EC),_xlpm.dias,NETWORKDAYS(Asignaciones!O$3,Asignaciones!O$4,_xlpm.feriados),IF($A64="","",_xlpm.dias*Consultores!$C64))</f>
        <v/>
      </c>
      <c r="I64" s="3" t="n"/>
      <c r="J64" s="35">
        <f>IF($A64="","",SUMIFS(Asignaciones!J$6:J$305,Asignaciones!$A$6:$A$305,$A64))</f>
        <v/>
      </c>
      <c r="K64" s="35">
        <f>IF($A64="","",SUMIFS(Asignaciones!K$6:K$305,Asignaciones!$A$6:$A$305,$A64))</f>
        <v/>
      </c>
      <c r="L64" s="35">
        <f>IF($A64="","",SUMIFS(Asignaciones!L$6:L$305,Asignaciones!$A$6:$A$305,$A64))</f>
        <v/>
      </c>
      <c r="M64" s="35">
        <f>IF($A64="","",SUMIFS(Asignaciones!M$6:M$305,Asignaciones!$A$6:$A$305,$A64))</f>
        <v/>
      </c>
      <c r="N64" s="35">
        <f>IF($A64="","",SUMIFS(Asignaciones!N$6:N$305,Asignaciones!$A$6:$A$305,$A64))</f>
        <v/>
      </c>
      <c r="O64" s="35">
        <f>IF($A64="","",SUMIFS(Asignaciones!O$6:O$305,Asignaciones!$A$6:$A$305,$A64))</f>
        <v/>
      </c>
      <c r="P64" s="3" t="n"/>
      <c r="Q64" s="35">
        <f>IF($A64="","",C64-J64)</f>
        <v/>
      </c>
      <c r="R64" s="35">
        <f>IF($A64="","",D64-K64)</f>
        <v/>
      </c>
      <c r="S64" s="35">
        <f>IF($A64="","",E64-L64)</f>
        <v/>
      </c>
      <c r="T64" s="35">
        <f>IF($A64="","",F64-M64)</f>
        <v/>
      </c>
      <c r="U64" s="35">
        <f>IF($A64="","",G64-N64)</f>
        <v/>
      </c>
      <c r="V64" s="35">
        <f>IF($A64="","",H64-O64)</f>
        <v/>
      </c>
    </row>
    <row r="65">
      <c r="A65" s="17">
        <f>IF(Consultores!A65="","",Consultores!A65)</f>
        <v/>
      </c>
      <c r="B65" s="17">
        <f>IF(Consultores!A65="","",Consultores!B65)</f>
        <v/>
      </c>
      <c r="C65" s="35">
        <f>_xlfn.LET(_xlpm.feriados,IF($B65="CO",FER_CO,FER_EC),_xlpm.dias,NETWORKDAYS(Asignaciones!J$3,Asignaciones!J$4,_xlpm.feriados),IF($A65="","",_xlpm.dias*Consultores!$C65))</f>
        <v/>
      </c>
      <c r="D65" s="35">
        <f>_xlfn.LET(_xlpm.feriados,IF($B65="CO",FER_CO,FER_EC),_xlpm.dias,NETWORKDAYS(Asignaciones!K$3,Asignaciones!K$4,_xlpm.feriados),IF($A65="","",_xlpm.dias*Consultores!$C65))</f>
        <v/>
      </c>
      <c r="E65" s="35">
        <f>_xlfn.LET(_xlpm.feriados,IF($B65="CO",FER_CO,FER_EC),_xlpm.dias,NETWORKDAYS(Asignaciones!L$3,Asignaciones!L$4,_xlpm.feriados),IF($A65="","",_xlpm.dias*Consultores!$C65))</f>
        <v/>
      </c>
      <c r="F65" s="35">
        <f>_xlfn.LET(_xlpm.feriados,IF($B65="CO",FER_CO,FER_EC),_xlpm.dias,NETWORKDAYS(Asignaciones!M$3,Asignaciones!M$4,_xlpm.feriados),IF($A65="","",_xlpm.dias*Consultores!$C65))</f>
        <v/>
      </c>
      <c r="G65" s="35">
        <f>_xlfn.LET(_xlpm.feriados,IF($B65="CO",FER_CO,FER_EC),_xlpm.dias,NETWORKDAYS(Asignaciones!N$3,Asignaciones!N$4,_xlpm.feriados),IF($A65="","",_xlpm.dias*Consultores!$C65))</f>
        <v/>
      </c>
      <c r="H65" s="35">
        <f>_xlfn.LET(_xlpm.feriados,IF($B65="CO",FER_CO,FER_EC),_xlpm.dias,NETWORKDAYS(Asignaciones!O$3,Asignaciones!O$4,_xlpm.feriados),IF($A65="","",_xlpm.dias*Consultores!$C65))</f>
        <v/>
      </c>
      <c r="I65" s="3" t="n"/>
      <c r="J65" s="35">
        <f>IF($A65="","",SUMIFS(Asignaciones!J$6:J$305,Asignaciones!$A$6:$A$305,$A65))</f>
        <v/>
      </c>
      <c r="K65" s="35">
        <f>IF($A65="","",SUMIFS(Asignaciones!K$6:K$305,Asignaciones!$A$6:$A$305,$A65))</f>
        <v/>
      </c>
      <c r="L65" s="35">
        <f>IF($A65="","",SUMIFS(Asignaciones!L$6:L$305,Asignaciones!$A$6:$A$305,$A65))</f>
        <v/>
      </c>
      <c r="M65" s="35">
        <f>IF($A65="","",SUMIFS(Asignaciones!M$6:M$305,Asignaciones!$A$6:$A$305,$A65))</f>
        <v/>
      </c>
      <c r="N65" s="35">
        <f>IF($A65="","",SUMIFS(Asignaciones!N$6:N$305,Asignaciones!$A$6:$A$305,$A65))</f>
        <v/>
      </c>
      <c r="O65" s="35">
        <f>IF($A65="","",SUMIFS(Asignaciones!O$6:O$305,Asignaciones!$A$6:$A$305,$A65))</f>
        <v/>
      </c>
      <c r="P65" s="3" t="n"/>
      <c r="Q65" s="35">
        <f>IF($A65="","",C65-J65)</f>
        <v/>
      </c>
      <c r="R65" s="35">
        <f>IF($A65="","",D65-K65)</f>
        <v/>
      </c>
      <c r="S65" s="35">
        <f>IF($A65="","",E65-L65)</f>
        <v/>
      </c>
      <c r="T65" s="35">
        <f>IF($A65="","",F65-M65)</f>
        <v/>
      </c>
      <c r="U65" s="35">
        <f>IF($A65="","",G65-N65)</f>
        <v/>
      </c>
      <c r="V65" s="35">
        <f>IF($A65="","",H65-O65)</f>
        <v/>
      </c>
    </row>
    <row r="66">
      <c r="A66" s="9" t="inlineStr">
        <is>
          <t>TOTAL EQUIPO</t>
        </is>
      </c>
      <c r="B66" s="3" t="n"/>
      <c r="C66" s="36">
        <f>SUM(C6:C65)</f>
        <v/>
      </c>
      <c r="D66" s="36">
        <f>SUM(D6:D65)</f>
        <v/>
      </c>
      <c r="E66" s="36">
        <f>SUM(E6:E65)</f>
        <v/>
      </c>
      <c r="F66" s="36">
        <f>SUM(F6:F65)</f>
        <v/>
      </c>
      <c r="G66" s="36">
        <f>SUM(G6:G65)</f>
        <v/>
      </c>
      <c r="H66" s="36">
        <f>SUM(H6:H65)</f>
        <v/>
      </c>
      <c r="I66" s="3" t="n"/>
      <c r="J66" s="36">
        <f>SUM(J6:J65)</f>
        <v/>
      </c>
      <c r="K66" s="36">
        <f>SUM(K6:K65)</f>
        <v/>
      </c>
      <c r="L66" s="36">
        <f>SUM(L6:L65)</f>
        <v/>
      </c>
      <c r="M66" s="36">
        <f>SUM(M6:M65)</f>
        <v/>
      </c>
      <c r="N66" s="36">
        <f>SUM(N6:N65)</f>
        <v/>
      </c>
      <c r="O66" s="36">
        <f>SUM(O6:O65)</f>
        <v/>
      </c>
      <c r="P66" s="3" t="n"/>
      <c r="Q66" s="36">
        <f>SUM(Q6:Q65)</f>
        <v/>
      </c>
      <c r="R66" s="36">
        <f>SUM(R6:R65)</f>
        <v/>
      </c>
      <c r="S66" s="36">
        <f>SUM(S6:S65)</f>
        <v/>
      </c>
      <c r="T66" s="36">
        <f>SUM(T6:T65)</f>
        <v/>
      </c>
      <c r="U66" s="36">
        <f>SUM(U6:U65)</f>
        <v/>
      </c>
      <c r="V66" s="36">
        <f>SUM(V6:V65)</f>
        <v/>
      </c>
    </row>
  </sheetData>
  <mergeCells count="3">
    <mergeCell ref="J4:O4"/>
    <mergeCell ref="Q4:V4"/>
    <mergeCell ref="C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2026-10-14T20:43:06Z</dcterms:created>
  <dcterms:modified xmlns:dcterms="http://purl.org/dc/terms/" xmlns:xsi="http://www.w3.org/2001/XMLSchema-instance" xsi:type="dcterms:W3CDTF">2026-10-14T20:43:06Z</dcterms:modified>
</cp:coreProperties>
</file>